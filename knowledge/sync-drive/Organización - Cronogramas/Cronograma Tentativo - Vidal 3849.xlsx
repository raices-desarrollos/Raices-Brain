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35241841d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84a2979f4434f86"/>
    <x:sheet xmlns:r="http://schemas.openxmlformats.org/officeDocument/2006/relationships" name="Cronograma completo" sheetId="2" r:id="Rdc36a9b679304569"/>
    <x:sheet xmlns:r="http://schemas.openxmlformats.org/officeDocument/2006/relationships" name="Pendientes 90 días" sheetId="3" r:id="Re45aa816156d4069"/>
    <x:sheet xmlns:r="http://schemas.openxmlformats.org/officeDocument/2006/relationships" name="Hitos principales" sheetId="4" r:id="R31685063e8e84fc6"/>
    <x:sheet xmlns:r="http://schemas.openxmlformats.org/officeDocument/2006/relationships" name="Gantt mensual" sheetId="5" r:id="Rb908f3f0a1194212"/>
    <x:sheet xmlns:r="http://schemas.openxmlformats.org/officeDocument/2006/relationships" name="Rubros / Responsables" sheetId="6" r:id="Rb2e345597f5f4229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<x:sst xmlns:x="http://schemas.openxmlformats.org/spreadsheetml/2006/main">
  <x:si>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</x:si>
  <x:si>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Fecha base</x:t>
  </x:si>
  <x:si>
    <x:t xml:space="preserve">Mes</x:t>
  </x:si>
  <x:si>
    <x:t xml:space="preserve">Año</x:t>
  </x:si>
  <x:si>
    <x:t xml:space="preserve">Etapa</x:t>
  </x:si>
  <x:si>
    <x:t xml:space="preserve">Rubro</x:t>
  </x:si>
  <x:si>
    <x:t xml:space="preserve">Actividad</x:t>
  </x:si>
  <x:si>
    <x:t xml:space="preserve">Responsable</x:t>
  </x:si>
  <x:si>
    <x:t xml:space="preserve">Contacto</x:t>
  </x:si>
  <x:si>
    <x:t xml:space="preserve">Estado</x:t>
  </x:si>
  <x:si>
    <x:t xml:space="preserve">Prioridad</x:t>
  </x:si>
  <x:si>
    <x:t xml:space="preserve">Dependencia</x:t>
  </x:si>
  <x:si>
    <x:t xml:space="preserve">Comentarios</x:t>
  </x:si>
  <x:si>
    <x:t xml:space="preserve">Mayo</x:t>
  </x:si>
  <x:si>
    <x:t xml:space="preserve">Compra / Escritura</x:t>
  </x:si>
  <x:si>
    <x:t xml:space="preserve">Legal</x:t>
  </x:si>
  <x:si>
    <x:t xml:space="preserve">Pago parcial a la gestora, según acuerdo. </x:t>
  </x:si>
  <x:si>
    <x:t xml:space="preserve">Socios</x:t>
  </x:si>
  <x:si>
    <x:t xml:space="preserve">Gestora Municipal</x:t>
  </x:si>
  <x:si>
    <x:t xml:space="preserve">Pendiente</x:t>
  </x:si>
  <x:si>
    <x:t xml:space="preserve">Crítica</x:t>
  </x:si>
  <x:si>
    <x:t xml:space="preserve">—</x:t>
  </x:si>
  <x:si>
    <x:t xml:space="preserve">Primeros pasos para presentar planos en la muni</x:t>
  </x:si>
  <x:si>
    <x:t xml:space="preserve">Proyecto</x:t>
  </x:si>
  <x:si>
    <x:t xml:space="preserve">Técnico</x:t>
  </x:si>
  <x:si>
    <x:t xml:space="preserve">Contratar calculista</x:t>
  </x:si>
  <x:si>
    <x:t xml:space="preserve">En curso</x:t>
  </x:si>
  <x:si>
    <x:t xml:space="preserve">Alta</x:t>
  </x:si>
  <x:si>
    <x:t xml:space="preserve">Cerrar proveedores técnicos tempranos</x:t>
  </x:si>
  <x:si>
    <x:t xml:space="preserve">Contratar estudio de suelos</x:t>
  </x:si>
  <x:si>
    <x:t xml:space="preserve">Contratar agrimensor</x:t>
  </x:si>
  <x:si>
    <x:t xml:space="preserve">Preobra</x:t>
  </x:si>
  <x:si>
    <x:t xml:space="preserve">Suelos</x:t>
  </x:si>
  <x:si>
    <x:t xml:space="preserve">Recibir informe de estudio de suelos y agrimensor.</x:t>
  </x:si>
  <x:si>
    <x:t xml:space="preserve">Estudio de suelos. Agrimensor</x:t>
  </x:si>
  <x:si>
    <x:t xml:space="preserve">Proveedor seleccionado</x:t>
  </x:si>
  <x:si>
    <x:t xml:space="preserve">Junio</x:t>
  </x:si>
  <x:si>
    <x:t xml:space="preserve">Cálculo estructural</x:t>
  </x:si>
  <x:si>
    <x:t xml:space="preserve">Iniciar trabajo del calculista sobre hipótesis estructural preliminar. Revisar normativa aplicable. Confirmar factibilidad urbanistica.</x:t>
  </x:si>
  <x:si>
    <x:t xml:space="preserve">Anteproyecto avanzado</x:t>
  </x:si>
  <x:si>
    <x:t xml:space="preserve">Finanzas</x:t>
  </x:si>
  <x:si>
    <x:t xml:space="preserve">Con el proyecto definido, armar presupuesto preliminar de obra por rubros. Preparar primer borrador de flujo de fondos</x:t>
  </x:si>
  <x:si>
    <x:t xml:space="preserve">Superficies preliminares</x:t>
  </x:si>
  <x:si>
    <x:t xml:space="preserve">Arquitectura</x:t>
  </x:si>
  <x:si>
    <x:t xml:space="preserve">Definir arquitectura final teniendo estudios de agrimensor. Vendibles con mayor precision. Construibles con mayor precision. Comunes. Unidades. Cocheras.</x:t>
  </x:si>
  <x:si>
    <x:t xml:space="preserve">Rodrigo</x:t>
  </x:si>
  <x:si>
    <x:t xml:space="preserve">Base para proyecto y carpeta comercial</x:t>
  </x:si>
  <x:si>
    <x:t xml:space="preserve">Julio</x:t>
  </x:si>
  <x:si>
    <x:t xml:space="preserve">Comercial</x:t>
  </x:si>
  <x:si>
    <x:t xml:space="preserve">Folletería</x:t>
  </x:si>
  <x:si>
    <x:t xml:space="preserve">Pedir presupuestos de folletería</x:t>
  </x:si>
  <x:si>
    <x:t xml:space="preserve">Armar primer modelo económico base. Cargar terreno, costo de obra, honorarios, imprevistos y precio de venta por m². Calcular rentabilidad esperada preliminar</x:t>
  </x:si>
  <x:si>
    <x:t xml:space="preserve">Definición preliminar de producto</x:t>
  </x:si>
  <x:si>
    <x:t xml:space="preserve">Modelo v0.1</x:t>
  </x:si>
  <x:si>
    <x:t xml:space="preserve">Coordinación con escribanía para escrituración y pago de saldo</x:t>
  </x:si>
  <x:si>
    <x:t xml:space="preserve">Escribanía</x:t>
  </x:si>
  <x:si>
    <x:t xml:space="preserve">Bloque inicial para poder llegar a escritura</x:t>
  </x:si>
  <x:si>
    <x:t xml:space="preserve">Administración</x:t>
  </x:si>
  <x:si>
    <x:t xml:space="preserve">Finanzas / Legal</x:t>
  </x:si>
  <x:si>
    <x:t xml:space="preserve">Organizar cuenta bancaria del proyecto</x:t>
  </x:si>
  <x:si>
    <x:t xml:space="preserve">Socios / Administración</x:t>
  </x:si>
  <x:si>
    <x:t xml:space="preserve">Estructura del proyecto</x:t>
  </x:si>
  <x:si>
    <x:t xml:space="preserve">Escritura del terreno si se cumple el plazo de 90 días. Toma de posesión. Pago del saldo. Obtención de documentación.</x:t>
  </x:si>
  <x:si>
    <x:t xml:space="preserve">Documentación final aprobada</x:t>
  </x:si>
  <x:si>
    <x:t xml:space="preserve">Hito central del proyecto</x:t>
  </x:si>
  <x:si>
    <x:t xml:space="preserve">Avanzar planos municipales. Iniciar tramitación municipal si los planos están lo suficientemente cerrados</x:t>
  </x:si>
  <x:si>
    <x:t xml:space="preserve">Gestora</x:t>
  </x:si>
  <x:si>
    <x:t xml:space="preserve">Suelos y agrimensura</x:t>
  </x:si>
  <x:si>
    <x:t xml:space="preserve">Marketing / Ventas</x:t>
  </x:si>
  <x:si>
    <x:t xml:space="preserve">Iniciar carpeta de ventas. Redactar descripción del proyecto. Definir tipologías comerciales. Preparar planos comerciales. Preparar memoria descriptiva preliminar. </x:t>
  </x:si>
  <x:si>
    <x:t xml:space="preserve">Socios / Marketing / Rodrigo</x:t>
  </x:si>
  <x:si>
    <x:t xml:space="preserve">Proyecto avanzado</x:t>
  </x:si>
  <x:si>
    <x:t xml:space="preserve">Seleccionar proveedor de renders</x:t>
  </x:si>
  <x:si>
    <x:t xml:space="preserve">Iniciar análisis comercial del producto. Definir precios por etapas. Definir perfil de comprador. Volver a relevar competencia.</x:t>
  </x:si>
  <x:si>
    <x:t xml:space="preserve">Sirve para orientar el mix y la preventa</x:t>
  </x:si>
  <x:si>
    <x:t xml:space="preserve">Iniciar estrategia de marca del proyecto. Definir nombre preliminar del edificio. Identidad. Tono comercial. Renders, folletos, landing page?</x:t>
  </x:si>
  <x:si>
    <x:t xml:space="preserve">Media</x:t>
  </x:si>
  <x:si>
    <x:t xml:space="preserve">Análisis comercial inicial</x:t>
  </x:si>
  <x:si>
    <x:t xml:space="preserve">Cerrar proyecto arquitectónico prácticamente definitivo</x:t>
  </x:si>
  <x:si>
    <x:t xml:space="preserve">Rodrigo / Socios</x:t>
  </x:si>
  <x:si>
    <x:t xml:space="preserve">Ajustes de julio</x:t>
  </x:si>
  <x:si>
    <x:t xml:space="preserve">Agosto</x:t>
  </x:si>
  <x:si>
    <x:t xml:space="preserve">Documentación técnica</x:t>
  </x:si>
  <x:si>
    <x:t xml:space="preserve">Desarrollar documentación técnica de arquitectura</x:t>
  </x:si>
  <x:si>
    <x:t xml:space="preserve">Rodrigo / Calculista / Instaladores</x:t>
  </x:si>
  <x:si>
    <x:t xml:space="preserve">Proyecto cerrado</x:t>
  </x:si>
  <x:si>
    <x:t xml:space="preserve">Desarrollar documentación técnica de estructura</x:t>
  </x:si>
  <x:si>
    <x:t xml:space="preserve">Desarrollar documentación técnica de instalaciones sanitarias</x:t>
  </x:si>
  <x:si>
    <x:t xml:space="preserve">Desarrollar documentación técnica de instalaciones eléctricas</x:t>
  </x:si>
  <x:si>
    <x:t xml:space="preserve">Desarrollar documentación técnica de gas, si corresponde</x:t>
  </x:si>
  <x:si>
    <x:t xml:space="preserve">Desarrollar documentación técnica de incendio, si corresponde</x:t>
  </x:si>
  <x:si>
    <x:t xml:space="preserve">Tramitación</x:t>
  </x:si>
  <x:si>
    <x:t xml:space="preserve">Municipalidad</x:t>
  </x:si>
  <x:si>
    <x:t xml:space="preserve">Presentar o avanzar presentación municipal</x:t>
  </x:si>
  <x:si>
    <x:t xml:space="preserve">Gestora / Rodrigo</x:t>
  </x:si>
  <x:si>
    <x:t xml:space="preserve">Responder ajustes solicitados por gestora o municipalidad</x:t>
  </x:si>
  <x:si>
    <x:t xml:space="preserve">Iniciar renders exteriores. Iniciar renders interiores. Armar brochure o folleto comercial. Desarrollar planos comerciales para ventas</x:t>
  </x:si>
  <x:si>
    <x:t xml:space="preserve">Socios / Marketing / Comercial</x:t>
  </x:si>
  <x:si>
    <x:t xml:space="preserve">Proyecto arquitectónico cerrado</x:t>
  </x:si>
  <x:si>
    <x:t xml:space="preserve">Definir esquema comercial de precio de preventa. Definir criterio de ajuste por CAC o esquema propio. Definir anticipo y cuotas. Definir descuentos por pago contado. </x:t>
  </x:si>
  <x:si>
    <x:t xml:space="preserve">Armar primer listado de potenciales compradores e inversores.</x:t>
  </x:si>
  <x:si>
    <x:t xml:space="preserve">Revisar flujo de fondos con escenario de preventas.</x:t>
  </x:si>
  <x:si>
    <x:t xml:space="preserve">Definir contratos de reserva y boletos</x:t>
  </x:si>
  <x:si>
    <x:t xml:space="preserve">Socios / Comercial / Legal</x:t>
  </x:si>
  <x:si>
    <x:t xml:space="preserve">Carpeta comercial lista</x:t>
  </x:si>
  <x:si>
    <x:t xml:space="preserve">Septiembre</x:t>
  </x:si>
  <x:si>
    <x:t xml:space="preserve">Seguimiento de expediente municipal.</x:t>
  </x:si>
  <x:si>
    <x:t xml:space="preserve">Presentación municipal</x:t>
  </x:si>
  <x:si>
    <x:t xml:space="preserve">Correcciones técnicas del proyecto si la tramitación lo requiere</x:t>
  </x:si>
  <x:si>
    <x:t xml:space="preserve">Cerrar documentación para licitación de obra</x:t>
  </x:si>
  <x:si>
    <x:t xml:space="preserve">Proyecto ejecutivo avanzado</x:t>
  </x:si>
  <x:si>
    <x:t xml:space="preserve">Obra</x:t>
  </x:si>
  <x:si>
    <x:t xml:space="preserve">Constructora</x:t>
  </x:si>
  <x:si>
    <x:t xml:space="preserve">Iniciar pedido de presupuestos a constructoras o contratistas principales.</x:t>
  </x:si>
  <x:si>
    <x:t xml:space="preserve">Documentación para licitación</x:t>
  </x:si>
  <x:si>
    <x:t xml:space="preserve">Definir si la obra se hará por: construcción integral, por administración, por contratos separados por rubro.</x:t>
  </x:si>
  <x:si>
    <x:t xml:space="preserve">Avanzar carpeta de ventas final. Cerrar logo y nombre del proyecto. Completar renders. Completar brochure. Completar memoria descriptiva. Completar lista de precios. Plano de unidades. Formas de pago. Que incluya material para reuniones con inversores.</x:t>
  </x:si>
  <x:si>
    <x:t xml:space="preserve">Material comercial avanzado</x:t>
  </x:si>
  <x:si>
    <x:t xml:space="preserve">Desarrollar landing page o página simple del proyecto</x:t>
  </x:si>
  <x:si>
    <x:t xml:space="preserve">Definir estrategia de publicación y salida al mercado, con contactos conocidos.</x:t>
  </x:si>
  <x:si>
    <x:t xml:space="preserve">Octubre</x:t>
  </x:si>
  <x:si>
    <x:t xml:space="preserve">Continuar tramitación municipal</x:t>
  </x:si>
  <x:si>
    <x:t xml:space="preserve">Expediente en curso</x:t>
  </x:si>
  <x:si>
    <x:t xml:space="preserve">Recibir presupuestos de obra</x:t>
  </x:si>
  <x:si>
    <x:t xml:space="preserve">Presupuestos solicitados</x:t>
  </x:si>
  <x:si>
    <x:t xml:space="preserve">Comparar propuestas de contratistas</x:t>
  </x:si>
  <x:si>
    <x:t xml:space="preserve">Ajustar modelo económico con costos más reales. Revisar rentabilidad esperada</x:t>
  </x:si>
  <x:si>
    <x:t xml:space="preserve">Presupuestos recibidos</x:t>
  </x:si>
  <x:si>
    <x:t xml:space="preserve">Ajustar precio de venta si los costos cambiaron</x:t>
  </x:si>
  <x:si>
    <x:t xml:space="preserve">Gestionar primeras reservas informales o cartas de intención</x:t>
  </x:si>
  <x:si>
    <x:t xml:space="preserve">Iniciar negociación con potenciales compradores</x:t>
  </x:si>
  <x:si>
    <x:t xml:space="preserve">Revisión legal de documentación comercial</x:t>
  </x:si>
  <x:si>
    <x:t xml:space="preserve">Cerrar ficha técnica. Cerrar material para redes o mailing</x:t>
  </x:si>
  <x:si>
    <x:t xml:space="preserve">Noviembre</x:t>
  </x:si>
  <x:si>
    <x:t xml:space="preserve">Rechequear aprobación municipal</x:t>
  </x:si>
  <x:si>
    <x:t xml:space="preserve">Seleccionar preliminarmente contratista o constructora. Negociar precio de obra.  Negociar anticipos. Negociar plazos de obra Negociar certificaciones, ajustes, penalidades.</x:t>
  </x:si>
  <x:si>
    <x:t xml:space="preserve">Socios / Constructora</x:t>
  </x:si>
  <x:si>
    <x:t xml:space="preserve">Comparación de propuestas</x:t>
  </x:si>
  <x:si>
    <x:t xml:space="preserve">Contratar seguros preliminares</x:t>
  </x:si>
  <x:si>
    <x:t xml:space="preserve">Organizar registro de aportes</x:t>
  </x:si>
  <x:si>
    <x:t xml:space="preserve">Organizar flujo de fondos operativo</x:t>
  </x:si>
  <x:si>
    <x:t xml:space="preserve">Organizar control de contratos</x:t>
  </x:si>
  <x:si>
    <x:t xml:space="preserve">Organizar carpeta legal</x:t>
  </x:si>
  <x:si>
    <x:t xml:space="preserve">Continuar preventa activa</x:t>
  </x:si>
  <x:si>
    <x:t xml:space="preserve">Socios / Comercial</x:t>
  </x:si>
  <x:si>
    <x:t xml:space="preserve">Preventa lanzada</x:t>
  </x:si>
  <x:si>
    <x:t xml:space="preserve">Firmar primeras reservas o boletos</x:t>
  </x:si>
  <x:si>
    <x:t xml:space="preserve">Definir plan de comunicación mensual a inversores y socios</x:t>
  </x:si>
  <x:si>
    <x:t xml:space="preserve">Obra preliminar</x:t>
  </x:si>
  <x:si>
    <x:t xml:space="preserve">Preparar terreno para inicio</x:t>
  </x:si>
  <x:si>
    <x:t xml:space="preserve">Constructora / Socios</x:t>
  </x:si>
  <x:si>
    <x:t xml:space="preserve">Posesión del terreno</x:t>
  </x:si>
  <x:si>
    <x:t xml:space="preserve">Revisar medianeras</x:t>
  </x:si>
  <x:si>
    <x:t xml:space="preserve">Revisar estado de ocupación</x:t>
  </x:si>
  <x:si>
    <x:t xml:space="preserve">Revisar servicios existentes</x:t>
  </x:si>
  <x:si>
    <x:t xml:space="preserve">Revisar posibles demoliciones o limpieza</x:t>
  </x:si>
  <x:si>
    <x:t xml:space="preserve">Diciembre</x:t>
  </x:si>
  <x:si>
    <x:t xml:space="preserve">Obtener aprobación municipal o llegar a etapa final de aprobación</x:t>
  </x:si>
  <x:si>
    <x:t xml:space="preserve">Expediente avanzado</x:t>
  </x:si>
  <x:si>
    <x:t xml:space="preserve">Cerrar contrato con constructora o contratistas principales</x:t>
  </x:si>
  <x:si>
    <x:t xml:space="preserve">Socios / Constructora / Dirección de obra</x:t>
  </x:si>
  <x:si>
    <x:t xml:space="preserve">Aprobación municipal avanzada</x:t>
  </x:si>
  <x:si>
    <x:t xml:space="preserve">Definir cronograma de obra definitivo</x:t>
  </x:si>
  <x:si>
    <x:t xml:space="preserve">Cerrar presupuesto base de obra</x:t>
  </x:si>
  <x:si>
    <x:t xml:space="preserve">Contratar director de obra o jefe de obra, si corresponde</x:t>
  </x:si>
  <x:si>
    <x:t xml:space="preserve">Contratar higiene y seguridad</x:t>
  </x:si>
  <x:si>
    <x:t xml:space="preserve">Organizar obrador</x:t>
  </x:si>
  <x:si>
    <x:t xml:space="preserve">Tramitar permisos complementarios</x:t>
  </x:si>
  <x:si>
    <x:t xml:space="preserve">Cortar o adecuar servicios existentes</x:t>
  </x:si>
  <x:si>
    <x:t xml:space="preserve">Preparar demolición, limpieza o inicio de tareas preliminares</x:t>
  </x:si>
  <x:si>
    <x:t xml:space="preserve">Continuar preventa</x:t>
  </x:si>
  <x:si>
    <x:t xml:space="preserve">Carpeta comercial activa</x:t>
  </x:si>
  <x:si>
    <x:t xml:space="preserve">Revisar caja disponible antes del inicio de obra</x:t>
  </x:si>
  <x:si>
    <x:t xml:space="preserve">Contrato de obra y preventa</x:t>
  </x:si>
  <x:si>
    <x:t xml:space="preserve">Revisar aportes comprometidos</x:t>
  </x:si>
  <x:si>
    <x:t xml:space="preserve">Revisar preventas logradas</x:t>
  </x:si>
  <x:si>
    <x:t xml:space="preserve">Revisar necesidad de financiación adicional</x:t>
  </x:si>
  <x:si>
    <x:t xml:space="preserve">Enero</x:t>
  </x:si>
  <x:si>
    <x:t xml:space="preserve">Iniciar obra</x:t>
  </x:si>
  <x:si>
    <x:t xml:space="preserve">Permiso de obra</x:t>
  </x:si>
  <x:si>
    <x:t xml:space="preserve">Inicio físico</x:t>
  </x:si>
  <x:si>
    <x:t xml:space="preserve">Instalar obrador</x:t>
  </x:si>
  <x:si>
    <x:t xml:space="preserve">Vallar terreno</x:t>
  </x:si>
  <x:si>
    <x:t xml:space="preserve">Colocar cartel de obra</x:t>
  </x:si>
  <x:si>
    <x:t xml:space="preserve">Limpiar lote</x:t>
  </x:si>
  <x:si>
    <x:t xml:space="preserve">Demoler construcciones existentes si hubiera</x:t>
  </x:si>
  <x:si>
    <x:t xml:space="preserve">Realizar movimiento preliminar de suelo</x:t>
  </x:si>
  <x:si>
    <x:t xml:space="preserve">Realizar replanteo de obra</x:t>
  </x:si>
  <x:si>
    <x:t xml:space="preserve">Iniciar excavación</x:t>
  </x:si>
  <x:si>
    <x:t xml:space="preserve">Contratar operativamente proveedores principales</x:t>
  </x:si>
  <x:si>
    <x:t xml:space="preserve">Comunicar comercialmente obra iniciada</x:t>
  </x:si>
  <x:si>
    <x:t xml:space="preserve">Socios / Marketing</x:t>
  </x:si>
  <x:si>
    <x:t xml:space="preserve">Inicio de obra</x:t>
  </x:si>
  <x:si>
    <x:t xml:space="preserve">Actualizar material de ventas con fotos reales del inicio</x:t>
  </x:si>
  <x:si>
    <x:t xml:space="preserve">Febrero</x:t>
  </x:si>
  <x:si>
    <x:t xml:space="preserve">Excavación / Fundaciones</x:t>
  </x:si>
  <x:si>
    <x:t xml:space="preserve">Continuar excavación</x:t>
  </x:si>
  <x:si>
    <x:t xml:space="preserve">Constructora / Dirección de obra</x:t>
  </x:si>
  <x:si>
    <x:t xml:space="preserve">Obrador y replanteo</x:t>
  </x:si>
  <x:si>
    <x:t xml:space="preserve">Preparar fundaciones</x:t>
  </x:si>
  <x:si>
    <x:t xml:space="preserve">Ejecutar bases, pilotes o sistema definido según estudio de suelos</x:t>
  </x:si>
  <x:si>
    <x:t xml:space="preserve">Iniciar submuraciones, si corresponden</x:t>
  </x:si>
  <x:si>
    <x:t xml:space="preserve">Controlar medianeras</x:t>
  </x:si>
  <x:si>
    <x:t xml:space="preserve">Emitir primeras certificaciones de obra</x:t>
  </x:si>
  <x:si>
    <x:t xml:space="preserve">Seguir cashflow real vs proyectado</x:t>
  </x:si>
  <x:si>
    <x:t xml:space="preserve">Certificaciones iniciales</x:t>
  </x:si>
  <x:si>
    <x:t xml:space="preserve">Continuar ventas y preventas</x:t>
  </x:si>
  <x:si>
    <x:t xml:space="preserve">Comercial / Marketing</x:t>
  </x:si>
  <x:si>
    <x:t xml:space="preserve">Obra iniciada</x:t>
  </x:si>
  <x:si>
    <x:t xml:space="preserve">Publicar avance de obra para compradores e inversores</x:t>
  </x:si>
  <x:si>
    <x:t xml:space="preserve">Marzo</x:t>
  </x:si>
  <x:si>
    <x:t xml:space="preserve">Finalizar o avanzar fuerte en fundaciones</x:t>
  </x:si>
  <x:si>
    <x:t xml:space="preserve">Excavación</x:t>
  </x:si>
  <x:si>
    <x:t xml:space="preserve">Estructura</x:t>
  </x:si>
  <x:si>
    <x:t xml:space="preserve">Iniciar estructura de planta baja</x:t>
  </x:si>
  <x:si>
    <x:t xml:space="preserve">Constructora / Calculista / Dirección de obra</x:t>
  </x:si>
  <x:si>
    <x:t xml:space="preserve">Fundaciones</x:t>
  </x:si>
  <x:si>
    <x:t xml:space="preserve">Armar columnas, vigas y losas iniciales</x:t>
  </x:si>
  <x:si>
    <x:t xml:space="preserve">Coordinar calculista, dirección de obra y contratista</x:t>
  </x:si>
  <x:si>
    <x:t xml:space="preserve">Realizar primer control importante de costos</x:t>
  </x:si>
  <x:si>
    <x:t xml:space="preserve">Socios / Dirección de obra</x:t>
  </x:si>
  <x:si>
    <x:t xml:space="preserve">Avance inicial de obra</x:t>
  </x:si>
  <x:si>
    <x:t xml:space="preserve">Ajustar cronograma si hubo demoras por suelo, lluvia o permisos</x:t>
  </x:si>
  <x:si>
    <x:t xml:space="preserve">Continuar seguimiento comercial</x:t>
  </x:si>
  <x:si>
    <x:t xml:space="preserve">Preventa activa</x:t>
  </x:si>
  <x:si>
    <x:t xml:space="preserve">Abril</x:t>
  </x:si>
  <x:si>
    <x:t xml:space="preserve">Hormigonar planta baja</x:t>
  </x:si>
  <x:si>
    <x:t xml:space="preserve">Estructura PB</x:t>
  </x:si>
  <x:si>
    <x:t xml:space="preserve">Iniciar estructura del primer piso</x:t>
  </x:si>
  <x:si>
    <x:t xml:space="preserve">Coordinar pases para instalaciones</x:t>
  </x:si>
  <x:si>
    <x:t xml:space="preserve">Compras / Proveedores</x:t>
  </x:si>
  <x:si>
    <x:t xml:space="preserve">Comprar o reservar materiales críticos</x:t>
  </x:si>
  <x:si>
    <x:t xml:space="preserve">Cronograma de obra</x:t>
  </x:si>
  <x:si>
    <x:t xml:space="preserve">Seguir certificaciones</x:t>
  </x:si>
  <x:si>
    <x:t xml:space="preserve">Certificaciones mensuales</x:t>
  </x:si>
  <x:si>
    <x:t xml:space="preserve">Emitir reporte mensual de avance para socios e inversores</x:t>
  </x:si>
  <x:si>
    <x:t xml:space="preserve">Avance visible de obra</x:t>
  </x:si>
  <x:si>
    <x:t xml:space="preserve">Reforzar ventas con hito de estructura en marcha</x:t>
  </x:si>
  <x:si>
    <x:t xml:space="preserve">Evaluar unidades más consultadas</x:t>
  </x:si>
  <x:si>
    <x:t xml:space="preserve">Evaluar tipologías más difíciles</x:t>
  </x:si>
  <x:si>
    <x:t xml:space="preserve">Ajustar precios o financiación si corresponde</x:t>
  </x:si>
  <x:si>
    <x:t xml:space="preserve">Ejecutar estructura del primer piso</x:t>
  </x:si>
  <x:si>
    <x:t xml:space="preserve">Estructura en marcha</x:t>
  </x:si>
  <x:si>
    <x:t xml:space="preserve">Iniciar estructura del segundo piso</x:t>
  </x:si>
  <x:si>
    <x:t xml:space="preserve">Continuar hormigonado</x:t>
  </x:si>
  <x:si>
    <x:t xml:space="preserve">Coordinar instalaciones embutidas</x:t>
  </x:si>
  <x:si>
    <x:t xml:space="preserve">Verificar medidas reales de unidades</x:t>
  </x:si>
  <x:si>
    <x:t xml:space="preserve">Ajustar proyecto ejecutivo en detalles menores</x:t>
  </x:si>
  <x:si>
    <x:t xml:space="preserve">Seguir costos de hierro, hormigón y mano de obra</x:t>
  </x:si>
  <x:si>
    <x:t xml:space="preserve">Obra en marcha</x:t>
  </x:si>
  <x:si>
    <x:t xml:space="preserve">Hito de avance</x:t>
  </x:si>
  <x:si>
    <x:t xml:space="preserve">Evaluar actualización de precios por avance de obra</x:t>
  </x:si>
  <x:si>
    <x:t xml:space="preserve">Ejecutar estructura del segundo piso</x:t>
  </x:si>
  <x:si>
    <x:t xml:space="preserve">Estructura segundo piso</x:t>
  </x:si>
  <x:si>
    <x:t xml:space="preserve">Iniciar estructura del tercer piso</x:t>
  </x:si>
  <x:si>
    <x:t xml:space="preserve">Planificar compra de materiales para albañilería</x:t>
  </x:si>
  <x:si>
    <x:t xml:space="preserve">Socios / Dirección de obra / Rodrigo</x:t>
  </x:si>
  <x:si>
    <x:t xml:space="preserve">Proyecto ejecutivo</x:t>
  </x:si>
  <x:si>
    <x:t xml:space="preserve">Definir aberturas</x:t>
  </x:si>
  <x:si>
    <x:t xml:space="preserve">Definir carpinterías</x:t>
  </x:si>
  <x:si>
    <x:t xml:space="preserve">Definir revestimientos</x:t>
  </x:si>
  <x:si>
    <x:t xml:space="preserve">Definir pisos</x:t>
  </x:si>
  <x:si>
    <x:t xml:space="preserve">Definir griferías</x:t>
  </x:si>
  <x:si>
    <x:t xml:space="preserve">Definir artefactos</x:t>
  </x:si>
  <x:si>
    <x:t xml:space="preserve">Cerrar memoria descriptiva definitiva</x:t>
  </x:si>
  <x:si>
    <x:t xml:space="preserve">Socios / Rodrigo</x:t>
  </x:si>
  <x:si>
    <x:t xml:space="preserve">Definición de terminaciones</x:t>
  </x:si>
  <x:si>
    <x:t xml:space="preserve">Revisar márgenes por unidad</x:t>
  </x:si>
  <x:si>
    <x:t xml:space="preserve">Semestre cerrado</x:t>
  </x:si>
  <x:si>
    <x:t xml:space="preserve">Emitir reporte comercial y financiero semestral</x:t>
  </x:si>
  <x:si>
    <x:t xml:space="preserve">Ejecutar estructura del tercer piso</x:t>
  </x:si>
  <x:si>
    <x:t xml:space="preserve">Estructura tercer piso</x:t>
  </x:si>
  <x:si>
    <x:t xml:space="preserve">Iniciar estructura del cuarto piso</x:t>
  </x:si>
  <x:si>
    <x:t xml:space="preserve">Instalaciones</x:t>
  </x:si>
  <x:si>
    <x:t xml:space="preserve">Avanzar instalaciones troncales en sectores liberados</x:t>
  </x:si>
  <x:si>
    <x:t xml:space="preserve">Constructora / Instaladores</x:t>
  </x:si>
  <x:si>
    <x:t xml:space="preserve">Sectores liberados</x:t>
  </x:si>
  <x:si>
    <x:t xml:space="preserve">Albañilería</x:t>
  </x:si>
  <x:si>
    <x:t xml:space="preserve">Planificar albañilería</x:t>
  </x:si>
  <x:si>
    <x:t xml:space="preserve">Estructura avanzada</x:t>
  </x:si>
  <x:si>
    <x:t xml:space="preserve">Contratar gremios de mampostería</x:t>
  </x:si>
  <x:si>
    <x:t xml:space="preserve">Continuar seguimiento de ventas</x:t>
  </x:si>
  <x:si>
    <x:t xml:space="preserve">Evaluar campaña comercial de mitad de obra</x:t>
  </x:si>
  <x:si>
    <x:t xml:space="preserve">Ajustar precios para unidades remanentes</x:t>
  </x:si>
  <x:si>
    <x:t xml:space="preserve">Ejecutar estructura del cuarto piso</x:t>
  </x:si>
  <x:si>
    <x:t xml:space="preserve">Estructura cuarto piso</x:t>
  </x:si>
  <x:si>
    <x:t xml:space="preserve">Iniciar pisos superiores o retiros, según proyecto</x:t>
  </x:si>
  <x:si>
    <x:t xml:space="preserve">Avanzar caja de escaleras y ascensor</x:t>
  </x:si>
  <x:si>
    <x:t xml:space="preserve">Ascensor</x:t>
  </x:si>
  <x:si>
    <x:t xml:space="preserve">Coordinar con proveedor de ascensor</x:t>
  </x:si>
  <x:si>
    <x:t xml:space="preserve">Núcleo de ascensor definido</x:t>
  </x:si>
  <x:si>
    <x:t xml:space="preserve">Iniciar compra o contratación de ascensor</x:t>
  </x:si>
  <x:si>
    <x:t xml:space="preserve">Fachada</x:t>
  </x:si>
  <x:si>
    <x:t xml:space="preserve">Planificar fachadas</x:t>
  </x:si>
  <x:si>
    <x:t xml:space="preserve">Rodrigo / Constructora</x:t>
  </x:si>
  <x:si>
    <x:t xml:space="preserve">Revisar plazos de entrega de materiales largos</x:t>
  </x:si>
  <x:si>
    <x:t xml:space="preserve">Comunicar obra gruesa avanzada</x:t>
  </x:si>
  <x:si>
    <x:t xml:space="preserve">Marketing</x:t>
  </x:si>
  <x:si>
    <x:t xml:space="preserve">Hito de obra</x:t>
  </x:si>
  <x:si>
    <x:t xml:space="preserve">Continuar estructura en pisos superiores</x:t>
  </x:si>
  <x:si>
    <x:t xml:space="preserve">Pisos superiores</x:t>
  </x:si>
  <x:si>
    <x:t xml:space="preserve">Iniciar albañilería en plantas bajas liberadas</x:t>
  </x:si>
  <x:si>
    <x:t xml:space="preserve">Ejecutar mampostería interior</x:t>
  </x:si>
  <x:si>
    <x:t xml:space="preserve">Ejecutar cierres exteriores iniciales</x:t>
  </x:si>
  <x:si>
    <x:t xml:space="preserve">Replantear tabiques internos</x:t>
  </x:si>
  <x:si>
    <x:t xml:space="preserve">Ejecutar instalaciones sanitarias preliminares</x:t>
  </x:si>
  <x:si>
    <x:t xml:space="preserve">Instaladores</x:t>
  </x:si>
  <x:si>
    <x:t xml:space="preserve">Albañilería inicial</x:t>
  </x:si>
  <x:si>
    <x:t xml:space="preserve">Ejecutar instalaciones eléctricas preliminares</x:t>
  </x:si>
  <x:si>
    <x:t xml:space="preserve">Control de obra</x:t>
  </x:si>
  <x:si>
    <x:t xml:space="preserve">Seguir calidad de ejecución</x:t>
  </x:si>
  <x:si>
    <x:t xml:space="preserve">Dirección de obra / Socios</x:t>
  </x:si>
  <x:si>
    <x:t xml:space="preserve">Obra en avance</x:t>
  </x:si>
  <x:si>
    <x:t xml:space="preserve">Controlar desvíos presupuestarios</x:t>
  </x:si>
  <x:si>
    <x:t xml:space="preserve">Avanzar hacia finalización de estructura principal</x:t>
  </x:si>
  <x:si>
    <x:t xml:space="preserve">Continuar albañilería</x:t>
  </x:si>
  <x:si>
    <x:t xml:space="preserve">Mampostería iniciada</x:t>
  </x:si>
  <x:si>
    <x:t xml:space="preserve">Avanzar instalación de agua</x:t>
  </x:si>
  <x:si>
    <x:t xml:space="preserve">Albañilería en avance</x:t>
  </x:si>
  <x:si>
    <x:t xml:space="preserve">Avanzar instalación cloacal</x:t>
  </x:si>
  <x:si>
    <x:t xml:space="preserve">Avanzar instalación pluvial</x:t>
  </x:si>
  <x:si>
    <x:t xml:space="preserve">Avanzar instalación eléctrica</x:t>
  </x:si>
  <x:si>
    <x:t xml:space="preserve">Avanzar corrientes débiles</x:t>
  </x:si>
  <x:si>
    <x:t xml:space="preserve">Avanzar gas si aplica</x:t>
  </x:si>
  <x:si>
    <x:t xml:space="preserve">Iniciar trabajos de fachada en sectores disponibles</x:t>
  </x:si>
  <x:si>
    <x:t xml:space="preserve">Sectores disponibles</x:t>
  </x:si>
  <x:si>
    <x:t xml:space="preserve">Definir colores exteriores definitivos</x:t>
  </x:si>
  <x:si>
    <x:t xml:space="preserve">Definir materiales exteriores definitivos</x:t>
  </x:si>
  <x:si>
    <x:t xml:space="preserve">Definir terminaciones exteriores definitivas</x:t>
  </x:si>
  <x:si>
    <x:t xml:space="preserve">Actualizar material comercial con fotos de obra real</x:t>
  </x:si>
  <x:si>
    <x:t xml:space="preserve">Fachada y estructura visibles</x:t>
  </x:si>
  <x:si>
    <x:t xml:space="preserve">Finalizar estructura si el ritmo fue bueno</x:t>
  </x:si>
  <x:si>
    <x:t xml:space="preserve">Estructura superior</x:t>
  </x:si>
  <x:si>
    <x:t xml:space="preserve">Hito comercial fuerte</x:t>
  </x:si>
  <x:si>
    <x:t xml:space="preserve">Comunicar hito de estructura terminada</x:t>
  </x:si>
  <x:si>
    <x:t xml:space="preserve">Marketing / Comercial</x:t>
  </x:si>
  <x:si>
    <x:t xml:space="preserve">Estructura terminada</x:t>
  </x:si>
  <x:si>
    <x:t xml:space="preserve">Continuar albañilería en pleno avance</x:t>
  </x:si>
  <x:si>
    <x:t xml:space="preserve">Estructura liberada</x:t>
  </x:si>
  <x:si>
    <x:t xml:space="preserve">Continuar instalaciones en pleno avance</x:t>
  </x:si>
  <x:si>
    <x:t xml:space="preserve">Albañilería avanzada</x:t>
  </x:si>
  <x:si>
    <x:t xml:space="preserve">Terminaciones</x:t>
  </x:si>
  <x:si>
    <x:t xml:space="preserve">Contratar yesería o revoques</x:t>
  </x:si>
  <x:si>
    <x:t xml:space="preserve">Obra húmeda por iniciar</x:t>
  </x:si>
  <x:si>
    <x:t xml:space="preserve">Contratar contrapisos</x:t>
  </x:si>
  <x:si>
    <x:t xml:space="preserve">Contratar carpetas</x:t>
  </x:si>
  <x:si>
    <x:t xml:space="preserve">Contratar colocadores de pisos</x:t>
  </x:si>
  <x:si>
    <x:t xml:space="preserve">Contratar carpinterías</x:t>
  </x:si>
  <x:si>
    <x:t xml:space="preserve">Verificar pedidos de aberturas</x:t>
  </x:si>
  <x:si>
    <x:t xml:space="preserve">Revisar financieramente la segunda mitad de obra</x:t>
  </x:si>
  <x:si>
    <x:t xml:space="preserve">Primer tramo de obra</x:t>
  </x:si>
  <x:si>
    <x:t xml:space="preserve">Realizar nueva ronda de ventas con precios más altos por menor riesgo de obra</x:t>
  </x:si>
  <x:si>
    <x:t xml:space="preserve">Cerrar primer año de obra</x:t>
  </x:si>
  <x:si>
    <x:t xml:space="preserve">Año de obra cerrado</x:t>
  </x:si>
  <x:si>
    <x:t xml:space="preserve">Verificar estructura terminada o prácticamente terminada</x:t>
  </x:si>
  <x:si>
    <x:t xml:space="preserve">Verificar albañilería avanzada</x:t>
  </x:si>
  <x:si>
    <x:t xml:space="preserve">Verificar instalaciones por piso</x:t>
  </x:si>
  <x:si>
    <x:t xml:space="preserve">Iniciar revoques gruesos en sectores</x:t>
  </x:si>
  <x:si>
    <x:t xml:space="preserve">Iniciar contrapisos</x:t>
  </x:si>
  <x:si>
    <x:t xml:space="preserve">Controlar presupuesto</x:t>
  </x:si>
  <x:si>
    <x:t xml:space="preserve">Cierre anual</x:t>
  </x:si>
  <x:si>
    <x:t xml:space="preserve">Controlar plazos</x:t>
  </x:si>
  <x:si>
    <x:t xml:space="preserve">Controlar ventas</x:t>
  </x:si>
  <x:si>
    <x:t xml:space="preserve">Controlar caja</x:t>
  </x:si>
  <x:si>
    <x:t xml:space="preserve">Controlar deuda con proveedores</x:t>
  </x:si>
  <x:si>
    <x:t xml:space="preserve">Emitir reporte anual para socios e inversores</x:t>
  </x:si>
  <x:si>
    <x:t xml:space="preserve">Planificar terminaciones finas para 2028</x:t>
  </x:si>
  <x:si>
    <x:t xml:space="preserve">Socios / Rodrigo / Constructora</x:t>
  </x:si>
  <x:si>
    <x:t xml:space="preserve">Obra húmeda</x:t>
  </x:si>
  <x:si>
    <x:t xml:space="preserve">Continuar instalaciones</x:t>
  </x:si>
  <x:si>
    <x:t xml:space="preserve">Ejecutar revoques gruesos</x:t>
  </x:si>
  <x:si>
    <x:t xml:space="preserve">Mampostería avanzada</x:t>
  </x:si>
  <x:si>
    <x:t xml:space="preserve">Ejecutar contrapisos y carpetas</x:t>
  </x:si>
  <x:si>
    <x:t xml:space="preserve">Avanzar fachada</x:t>
  </x:si>
  <x:si>
    <x:t xml:space="preserve">Cerramientos</x:t>
  </x:si>
  <x:si>
    <x:t xml:space="preserve">Iniciar colocación de premarcos o aberturas si corresponde</x:t>
  </x:si>
  <x:si>
    <x:t xml:space="preserve">Revisar stock y entregas de materiales</x:t>
  </x:si>
  <x:si>
    <x:t xml:space="preserve">Compras planificadas</x:t>
  </x:si>
  <x:si>
    <x:t xml:space="preserve">Lanzar campaña comercial de verano con avance real de obra</x:t>
  </x:si>
  <x:si>
    <x:t xml:space="preserve">Obra visible</x:t>
  </x:si>
  <x:si>
    <x:t xml:space="preserve">Avanzar instalaciones por unidad</x:t>
  </x:si>
  <x:si>
    <x:t xml:space="preserve">Instaladores / Dirección de obra</x:t>
  </x:si>
  <x:si>
    <x:t xml:space="preserve">Instalaciones por unidad</x:t>
  </x:si>
  <x:si>
    <x:t xml:space="preserve">Realizar pruebas parciales de instalaciones sanitarias</x:t>
  </x:si>
  <x:si>
    <x:t xml:space="preserve">Realizar pruebas parciales eléctricas</x:t>
  </x:si>
  <x:si>
    <x:t xml:space="preserve">Ejecutar revoques interiores</x:t>
  </x:si>
  <x:si>
    <x:t xml:space="preserve">Instalaciones preliminares</x:t>
  </x:si>
  <x:si>
    <x:t xml:space="preserve">Fachada iniciada</x:t>
  </x:si>
  <x:si>
    <x:t xml:space="preserve">Proveedor contratado</x:t>
  </x:si>
  <x:si>
    <x:t xml:space="preserve">Espacios comunes</x:t>
  </x:si>
  <x:si>
    <x:t xml:space="preserve">Iniciar trabajos en espacios comunes</x:t>
  </x:si>
  <x:si>
    <x:t xml:space="preserve">Proyecto de interiores</x:t>
  </x:si>
  <x:si>
    <x:t xml:space="preserve">Revisar diseño interior del hall</x:t>
  </x:si>
  <x:si>
    <x:t xml:space="preserve">Revisar diseño interior de palieres</x:t>
  </x:si>
  <x:si>
    <x:t xml:space="preserve">Revisar accesos</x:t>
  </x:si>
  <x:si>
    <x:t xml:space="preserve">Revisar iluminación común</x:t>
  </x:si>
  <x:si>
    <x:t xml:space="preserve">Ejecutar revoques finos o yesería</x:t>
  </x:si>
  <x:si>
    <x:t xml:space="preserve">Obra húmeda avanzada</x:t>
  </x:si>
  <x:si>
    <x:t xml:space="preserve">Colocar aberturas</x:t>
  </x:si>
  <x:si>
    <x:t xml:space="preserve">Ejecutar impermeabilizaciones</x:t>
  </x:si>
  <x:si>
    <x:t xml:space="preserve">Avanzar terrazas, balcones y patios</x:t>
  </x:si>
  <x:si>
    <x:t xml:space="preserve">Ejecutar carpetas finales</x:t>
  </x:si>
  <x:si>
    <x:t xml:space="preserve">Preparar colocación de pisos</x:t>
  </x:si>
  <x:si>
    <x:t xml:space="preserve">Licitar o contratar muebles de cocina</x:t>
  </x:si>
  <x:si>
    <x:t xml:space="preserve">Terminaciones definidas</x:t>
  </x:si>
  <x:si>
    <x:t xml:space="preserve">Definir mesadas</x:t>
  </x:si>
  <x:si>
    <x:t xml:space="preserve">Definir placares si se incluyen</x:t>
  </x:si>
  <x:si>
    <x:t xml:space="preserve">Seguir venta de últimas unidades</x:t>
  </x:si>
  <x:si>
    <x:t xml:space="preserve">Unidades remanentes</x:t>
  </x:si>
  <x:si>
    <x:t xml:space="preserve">Colocar pisos y revestimientos en primeras unidades</x:t>
  </x:si>
  <x:si>
    <x:t xml:space="preserve">Preparación terminaciones</x:t>
  </x:si>
  <x:si>
    <x:t xml:space="preserve">Instalar cañerías finales</x:t>
  </x:si>
  <x:si>
    <x:t xml:space="preserve">Avanzar baños</x:t>
  </x:si>
  <x:si>
    <x:t xml:space="preserve">Avanzar cocinas</x:t>
  </x:si>
  <x:si>
    <x:t xml:space="preserve">Instalar carpinterías exteriores</x:t>
  </x:si>
  <x:si>
    <x:t xml:space="preserve">Iniciar pintura base en sectores</x:t>
  </x:si>
  <x:si>
    <x:t xml:space="preserve">Revisar terminaciones por unidad</x:t>
  </x:si>
  <x:si>
    <x:t xml:space="preserve">Avanzar fachada en etapa media o avanzada</x:t>
  </x:si>
  <x:si>
    <x:t xml:space="preserve">Fachada en curso</x:t>
  </x:si>
  <x:si>
    <x:t xml:space="preserve">Evaluar aumento de precios por cercanía a entrega</x:t>
  </x:si>
  <x:si>
    <x:t xml:space="preserve">Comercial / Socios</x:t>
  </x:si>
  <x:si>
    <x:t xml:space="preserve">Obra avanzada</x:t>
  </x:si>
  <x:si>
    <x:t xml:space="preserve">Colocar revestimientos intensivamente</x:t>
  </x:si>
  <x:si>
    <x:t xml:space="preserve">Terminaciones iniciadas</x:t>
  </x:si>
  <x:si>
    <x:t xml:space="preserve">Colocar pisos</x:t>
  </x:si>
  <x:si>
    <x:t xml:space="preserve">Instalar marcos, puertas interiores y herrajes</x:t>
  </x:si>
  <x:si>
    <x:t xml:space="preserve">Iniciar instalación de muebles de cocina</x:t>
  </x:si>
  <x:si>
    <x:t xml:space="preserve">Instalar mesadas</x:t>
  </x:si>
  <x:si>
    <x:t xml:space="preserve">Instalar bañeras, receptáculos o artefactos sanitarios según proyecto</x:t>
  </x:si>
  <x:si>
    <x:t xml:space="preserve">Avanzar instalación eléctrica final</x:t>
  </x:si>
  <x:si>
    <x:t xml:space="preserve">Avanzar iluminación en espacios comunes</x:t>
  </x:si>
  <x:si>
    <x:t xml:space="preserve">Seguir avance de instalación de ascensor</x:t>
  </x:si>
  <x:si>
    <x:t xml:space="preserve">Proveedor ascensor / Constructora</x:t>
  </x:si>
  <x:si>
    <x:t xml:space="preserve">Ascensor contratado</x:t>
  </x:si>
  <x:si>
    <x:t xml:space="preserve">Avanzar terminaciones interiores en varias unidades</x:t>
  </x:si>
  <x:si>
    <x:t xml:space="preserve">Terminaciones medias</x:t>
  </x:si>
  <x:si>
    <x:t xml:space="preserve">Iniciar pintura interior</x:t>
  </x:si>
  <x:si>
    <x:t xml:space="preserve">Instalar griferías</x:t>
  </x:si>
  <x:si>
    <x:t xml:space="preserve">Instalar artefactos sanitarios</x:t>
  </x:si>
  <x:si>
    <x:t xml:space="preserve">Instalar muebles bajo mesada y alacenas</x:t>
  </x:si>
  <x:si>
    <x:t xml:space="preserve">Avanzar hall de entrada</x:t>
  </x:si>
  <x:si>
    <x:t xml:space="preserve">Constructora / Rodrigo</x:t>
  </x:si>
  <x:si>
    <x:t xml:space="preserve">Espacios comunes iniciados</x:t>
  </x:si>
  <x:si>
    <x:t xml:space="preserve">Avanzar palieres</x:t>
  </x:si>
  <x:si>
    <x:t xml:space="preserve">Avanzar fachada final</x:t>
  </x:si>
  <x:si>
    <x:t xml:space="preserve">Fachada avanzada</x:t>
  </x:si>
  <x:si>
    <x:t xml:space="preserve">Controlar calidad por unidad</x:t>
  </x:si>
  <x:si>
    <x:t xml:space="preserve">Terminaciones visibles</x:t>
  </x:si>
  <x:si>
    <x:t xml:space="preserve">Armar lista de pendientes por piso</x:t>
  </x:si>
  <x:si>
    <x:t xml:space="preserve">Continuar pintura interior</x:t>
  </x:si>
  <x:si>
    <x:t xml:space="preserve">Terminaciones finales</x:t>
  </x:si>
  <x:si>
    <x:t xml:space="preserve">Terminar baños</x:t>
  </x:si>
  <x:si>
    <x:t xml:space="preserve">Terminar cocinas</x:t>
  </x:si>
  <x:si>
    <x:t xml:space="preserve">Colocar placares si aplica</x:t>
  </x:si>
  <x:si>
    <x:t xml:space="preserve">Colocar barandas</x:t>
  </x:si>
  <x:si>
    <x:t xml:space="preserve">Terminar balcones</x:t>
  </x:si>
  <x:si>
    <x:t xml:space="preserve">Finalizar o avanzar fuertemente instalación de ascensor</x:t>
  </x:si>
  <x:si>
    <x:t xml:space="preserve">Proveedor ascensor</x:t>
  </x:si>
  <x:si>
    <x:t xml:space="preserve">Ascensor en curso</x:t>
  </x:si>
  <x:si>
    <x:t xml:space="preserve">Trabajar en acceso principal</x:t>
  </x:si>
  <x:si>
    <x:t xml:space="preserve">Exterior avanzado</x:t>
  </x:si>
  <x:si>
    <x:t xml:space="preserve">Trabajar en vereda si corresponde</x:t>
  </x:si>
  <x:si>
    <x:t xml:space="preserve">Iniciar limpieza gruesa por sectores</x:t>
  </x:si>
  <x:si>
    <x:t xml:space="preserve">Legal / Entrega</x:t>
  </x:si>
  <x:si>
    <x:t xml:space="preserve">Revisar documentación legal y comercial para futuras escrituras de unidades</x:t>
  </x:si>
  <x:si>
    <x:t xml:space="preserve">Legal / Socios</x:t>
  </x:si>
  <x:si>
    <x:t xml:space="preserve">Obra cercana a entrega</x:t>
  </x:si>
  <x:si>
    <x:t xml:space="preserve">Ejecutar terminaciones finales en unidades</x:t>
  </x:si>
  <x:si>
    <x:t xml:space="preserve">Terminaciones avanzadas</x:t>
  </x:si>
  <x:si>
    <x:t xml:space="preserve">Instalar artefactos eléctricos</x:t>
  </x:si>
  <x:si>
    <x:t xml:space="preserve">Colocar luminarias comunes</x:t>
  </x:si>
  <x:si>
    <x:t xml:space="preserve">Realizar pruebas finales de instalaciones</x:t>
  </x:si>
  <x:si>
    <x:t xml:space="preserve">Realizar pruebas de presión de agua</x:t>
  </x:si>
  <x:si>
    <x:t xml:space="preserve">Realizar pruebas eléctricas</x:t>
  </x:si>
  <x:si>
    <x:t xml:space="preserve">Avanzar final de ascensor</x:t>
  </x:si>
  <x:si>
    <x:t xml:space="preserve">Ascensor casi finalizado</x:t>
  </x:si>
  <x:si>
    <x:t xml:space="preserve">Terminar fachada</x:t>
  </x:si>
  <x:si>
    <x:t xml:space="preserve">Fachada final</x:t>
  </x:si>
  <x:si>
    <x:t xml:space="preserve">Terminar espacios comunes</x:t>
  </x:si>
  <x:si>
    <x:t xml:space="preserve">Espacios comunes avanzados</x:t>
  </x:si>
  <x:si>
    <x:t xml:space="preserve">Iniciar armado de documentación para final de obra</x:t>
  </x:si>
  <x:si>
    <x:t xml:space="preserve">Obra cercana a cierre</x:t>
  </x:si>
  <x:si>
    <x:t xml:space="preserve">Seguir pendientes unidad por unidad</x:t>
  </x:si>
  <x:si>
    <x:t xml:space="preserve">Punch list</x:t>
  </x:si>
  <x:si>
    <x:t xml:space="preserve">Entrar en etapa de cierre de obra</x:t>
  </x:si>
  <x:si>
    <x:t xml:space="preserve">Dirección de obra / Constructora / Socios</x:t>
  </x:si>
  <x:si>
    <x:t xml:space="preserve">Terminaciones casi completas</x:t>
  </x:si>
  <x:si>
    <x:t xml:space="preserve">Corregir detalles</x:t>
  </x:si>
  <x:si>
    <x:t xml:space="preserve">Iniciar limpieza fina</x:t>
  </x:si>
  <x:si>
    <x:t xml:space="preserve">Revisar cada unidad: pisos</x:t>
  </x:si>
  <x:si>
    <x:t xml:space="preserve">Revisar cada unidad: paredes</x:t>
  </x:si>
  <x:si>
    <x:t xml:space="preserve">Revisar cada unidad: aberturas</x:t>
  </x:si>
  <x:si>
    <x:t xml:space="preserve">Revisar cada unidad: griferías</x:t>
  </x:si>
  <x:si>
    <x:t xml:space="preserve">Revisar cada unidad: artefactos</x:t>
  </x:si>
  <x:si>
    <x:t xml:space="preserve">Revisar cada unidad: instalación eléctrica</x:t>
  </x:si>
  <x:si>
    <x:t xml:space="preserve">Revisar cada unidad: humedades</x:t>
  </x:si>
  <x:si>
    <x:t xml:space="preserve">Revisar cada unidad: pendientes de pintura</x:t>
  </x:si>
  <x:si>
    <x:t xml:space="preserve">Finalizar espacios comunes</x:t>
  </x:si>
  <x:si>
    <x:t xml:space="preserve">Terminaciones espacios comunes</x:t>
  </x:si>
  <x:si>
    <x:t xml:space="preserve">Finalizar fachada</x:t>
  </x:si>
  <x:si>
    <x:t xml:space="preserve">Gestionar certificados finales</x:t>
  </x:si>
  <x:si>
    <x:t xml:space="preserve">Gestora / Legal / Rodrigo</x:t>
  </x:si>
  <x:si>
    <x:t xml:space="preserve">Final de obra próximo</x:t>
  </x:si>
  <x:si>
    <x:t xml:space="preserve">Preparar documentación para subdivisión, afectación o reglamento según corresponda</x:t>
  </x:si>
  <x:si>
    <x:t xml:space="preserve">Cierre de obra</x:t>
  </x:si>
  <x:si>
    <x:t xml:space="preserve">Alcanzar final de obra técnico o etapa muy cercana</x:t>
  </x:si>
  <x:si>
    <x:t xml:space="preserve">Socios / Constructora / Gestora</x:t>
  </x:si>
  <x:si>
    <x:t xml:space="preserve">Obra terminada</x:t>
  </x:si>
  <x:si>
    <x:t xml:space="preserve">Realizar inspecciones</x:t>
  </x:si>
  <x:si>
    <x:t xml:space="preserve">Corregir observaciones</x:t>
  </x:si>
  <x:si>
    <x:t xml:space="preserve">Realizar limpieza fina</x:t>
  </x:si>
  <x:si>
    <x:t xml:space="preserve">Poner en marcha ascensor</x:t>
  </x:si>
  <x:si>
    <x:t xml:space="preserve">Poner en marcha bombas, tanques, tableros y sistemas comunes</x:t>
  </x:si>
  <x:si>
    <x:t xml:space="preserve">Cerrar contratos con gremios</x:t>
  </x:si>
  <x:si>
    <x:t xml:space="preserve">Revisar garantías de proveedores</x:t>
  </x:si>
  <x:si>
    <x:t xml:space="preserve">Preparar manual de uso para propietarios</x:t>
  </x:si>
  <x:si>
    <x:t xml:space="preserve">Organizar entregas</x:t>
  </x:si>
  <x:si>
    <x:t xml:space="preserve">Definir expensas iniciales si corresponde</x:t>
  </x:si>
  <x:si>
    <x:t xml:space="preserve">Contactar administración de consorcio si aplica</x:t>
  </x:si>
  <x:si>
    <x:t xml:space="preserve">Obtener final de obra o avanzar tramo final del trámite</x:t>
  </x:si>
  <x:si>
    <x:t xml:space="preserve">Inspecciones</x:t>
  </x:si>
  <x:si>
    <x:t xml:space="preserve">Entrega</x:t>
  </x:si>
  <x:si>
    <x:t xml:space="preserve">Realizar entrega técnica de unidades</x:t>
  </x:si>
  <x:si>
    <x:t xml:space="preserve">Socios / Constructora / Compradores</x:t>
  </x:si>
  <x:si>
    <x:t xml:space="preserve">Unidades listas</x:t>
  </x:si>
  <x:si>
    <x:t xml:space="preserve">Realizar recorridas con compradores</x:t>
  </x:si>
  <x:si>
    <x:t xml:space="preserve">Firmar actas de posesión si corresponde</x:t>
  </x:si>
  <x:si>
    <x:t xml:space="preserve">Corregir observaciones de compradores</x:t>
  </x:si>
  <x:si>
    <x:t xml:space="preserve">Cerrar últimas unidades disponibles</x:t>
  </x:si>
  <x:si>
    <x:t xml:space="preserve">Entrega cercana</x:t>
  </x:si>
  <x:si>
    <x:t xml:space="preserve">Preparar escrituraciones individuales si corresponde</x:t>
  </x:si>
  <x:si>
    <x:t xml:space="preserve">Legal / Socios / Gestora</x:t>
  </x:si>
  <x:si>
    <x:t xml:space="preserve">Final de obra</x:t>
  </x:si>
  <x:si>
    <x:t xml:space="preserve">Ordenar planos conforme a obra</x:t>
  </x:si>
  <x:si>
    <x:t xml:space="preserve">Ordenar garantías</x:t>
  </x:si>
  <x:si>
    <x:t xml:space="preserve">Ordenar manuales</x:t>
  </x:si>
  <x:si>
    <x:t xml:space="preserve">Ordenar certificados</x:t>
  </x:si>
  <x:si>
    <x:t xml:space="preserve">Ordenar liquidaciones</x:t>
  </x:si>
  <x:si>
    <x:t xml:space="preserve">Entregar formalmente unidades</x:t>
  </x:si>
  <x:si>
    <x:t xml:space="preserve">Socios / Compradores</x:t>
  </x:si>
  <x:si>
    <x:t xml:space="preserve">Dar posesión a compradores</x:t>
  </x:si>
  <x:si>
    <x:t xml:space="preserve">Cerrar operativamente la obra</x:t>
  </x:si>
  <x:si>
    <x:t xml:space="preserve">Entrega formal</x:t>
  </x:si>
  <x:si>
    <x:t xml:space="preserve">Liquidar final con constructora y proveedores</x:t>
  </x:si>
  <x:si>
    <x:t xml:space="preserve">Cerrar caja del proyecto</x:t>
  </x:si>
  <x:si>
    <x:t xml:space="preserve">Calcular rentabilidad real</x:t>
  </x:si>
  <x:si>
    <x:t xml:space="preserve">Calcular costo final</x:t>
  </x:si>
  <x:si>
    <x:t xml:space="preserve">Calcular venta total</x:t>
  </x:si>
  <x:si>
    <x:t xml:space="preserve">Calcular margen</x:t>
  </x:si>
  <x:si>
    <x:t xml:space="preserve">Calcular TIR</x:t>
  </x:si>
  <x:si>
    <x:t xml:space="preserve">Comparar desvíos vs modelo original</x:t>
  </x:si>
  <x:si>
    <x:t xml:space="preserve">Emitir informe final para socios e inversores</x:t>
  </x:si>
  <x:si>
    <x:t xml:space="preserve">Postventa</x:t>
  </x:si>
  <x:si>
    <x:t xml:space="preserve">Resolver detalles post-entrega</x:t>
  </x:si>
  <x:si>
    <x:t xml:space="preserve">Iniciar período de postventa</x:t>
  </x:si>
  <x:si>
    <x:t xml:space="preserve">Evaluar el proyecto como caso de aprendizaje para próximo desarrollo</x:t>
  </x:si>
  <x:si>
    <x:t xml:space="preserve">Atender reclamos iniciales de propietarios</x:t>
  </x:si>
  <x:si>
    <x:t xml:space="preserve">Socios / Constructora / Administración</x:t>
  </x:si>
  <x:si>
    <x:t xml:space="preserve">Entrega realizada</x:t>
  </x:si>
  <x:si>
    <x:t xml:space="preserve">Realizar ajustes menores post-entrega</x:t>
  </x:si>
  <x:si>
    <x:t xml:space="preserve">Seguir funcionamiento del edificio</x:t>
  </x:si>
  <x:si>
    <x:t xml:space="preserve">Cerrar documentación pendiente</x:t>
  </x:si>
  <x:si>
    <x:t xml:space="preserve">Legal / Administración</x:t>
  </x:si>
  <x:si>
    <x:t xml:space="preserve">Regularizar consorcio si aplica</x:t>
  </x:si>
  <x:si>
    <x:t xml:space="preserve">Cobrar últimos saldos pendientes</x:t>
  </x:si>
  <x:si>
    <x:t xml:space="preserve">Pagar últimos saldos pendientes</x:t>
  </x:si>
  <x:si>
    <x:t xml:space="preserve">Realizar cierre contable preliminar</x:t>
  </x:si>
  <x:si>
    <x:t xml:space="preserve">Continuar postventa</x:t>
  </x:si>
  <x:si>
    <x:t xml:space="preserve">Postventa inicial</x:t>
  </x:si>
  <x:si>
    <x:t xml:space="preserve">Revisar garantías</x:t>
  </x:si>
  <x:si>
    <x:t xml:space="preserve">Cerrar vínculo final con administración</x:t>
  </x:si>
  <x:si>
    <x:t xml:space="preserve">Preparar balance definitivo del desarrollo</x:t>
  </x:si>
  <x:si>
    <x:t xml:space="preserve">Cierre del proyecto</x:t>
  </x:si>
  <x:si>
    <x:t xml:space="preserve">Ordenar documentación para archivo</x:t>
  </x:si>
  <x:si>
    <x:t xml:space="preserve">Armar caso de éxito con fotos finales</x:t>
  </x:si>
  <x:si>
    <x:t xml:space="preserve">Armar caso de éxito con números finales</x:t>
  </x:si>
  <x:si>
    <x:t xml:space="preserve">Armar caso de éxito con aprendizajes</x:t>
  </x:si>
  <x:si>
    <x:t xml:space="preserve">Preparar material para futuros inversores</x:t>
  </x:si>
  <x:si>
    <x:t xml:space="preserve">Evaluar próximo proyecto</x:t>
  </x:si>
</x:sst>
</file>

<file path=xl/styles.xml><?xml version="1.0" encoding="utf-8"?>
<x:styleSheet xmlns:x="http://schemas.openxmlformats.org/spreadsheetml/2006/main">
  <x:numFmts count="3">
    <x:numFmt numFmtId="164" formatCode="mmm-yy"/>
    <x:numFmt numFmtId="200" formatCode="0%"/>
    <x:numFmt numFmtId="201" formatCode="dd/mm/yyyy"/>
  </x:numFmts>
  <x:fonts count="15">
    <x:font>
      <x:sz val="11"/>
      <x:color rgb="000000"/>
      <x:name val="Carlito"/>
    </x:font>
    <x:font>
      <x:b/>
      <x:sz val="11"/>
      <x:color rgb="1F2937"/>
      <x:name val="Aptos"/>
    </x:font>
    <x:font>
      <x:sz val="11"/>
      <x:color rgb="1F2937"/>
      <x:name val="Aptos"/>
    </x:font>
    <x:font>
      <x:b/>
      <x:sz val="11"/>
      <x:color theme="1"/>
      <x:name val="Aptos"/>
    </x:font>
    <x:font>
      <x:b/>
      <x:sz val="11"/>
      <x:color theme="1"/>
      <x:name val="Arial"/>
    </x:font>
    <x:font>
      <x:sz val="11"/>
      <x:color rgb="1F2937"/>
      <x:name val="Arial"/>
    </x:font>
    <x:font>
      <x:b/>
      <x:sz val="11"/>
      <x:color rgb="7F1D1D"/>
      <x:name val="Aptos"/>
    </x:font>
    <x:font>
      <x:sz val="11"/>
      <x:color rgb="000000"/>
      <x:name val="Aptos"/>
    </x:font>
    <x:font>
      <x:sz val="11"/>
      <x:color rgb="000000"/>
      <x:name val="Arial"/>
    </x:font>
    <x:font>
      <x:b/>
      <x:sz val="18"/>
      <x:color rgb="111827"/>
      <x:name val="Aptos Display"/>
    </x:font>
    <x:font>
      <x:sz val="10"/>
      <x:color rgb="4B5563"/>
      <x:name val="Aptos"/>
    </x:font>
    <x:font>
      <x:b/>
      <x:sz val="10"/>
      <x:color rgb="374151"/>
      <x:name val="Aptos"/>
    </x:font>
    <x:font>
      <x:b/>
      <x:sz val="12"/>
      <x:color rgb="111827"/>
      <x:name val="Aptos"/>
    </x:font>
    <x:font>
      <x:sz val="10"/>
      <x:color rgb="111827"/>
      <x:name val="Aptos"/>
    </x:font>
    <x:font>
      <x:b/>
      <x:sz val="10"/>
      <x:color rgb="111827"/>
      <x:name val="Aptos"/>
    </x:font>
  </x:fonts>
  <x:fills count="7">
    <x:fill>
      <x:patternFill patternType="none"/>
    </x:fill>
    <x:fill>
      <x:patternFill patternType="lightGray"/>
    </x:fill>
    <x:fill>
      <x:patternFill patternType="solid">
        <x:fgColor rgb="000000"/>
      </x:patternFill>
    </x:fill>
    <x:fill>
      <x:patternFill patternType="solid">
        <x:fgColor rgb="F8FAFC"/>
      </x:patternFill>
    </x:fill>
    <x:fill>
      <x:patternFill patternType="solid">
        <x:fgColor rgb="FFFFFF"/>
      </x:patternFill>
    </x:fill>
    <x:fill>
      <x:patternFill patternType="solid">
        <x:fgColor rgb="F3F6FA"/>
      </x:patternFill>
    </x:fill>
    <x:fill>
      <x:patternFill patternType="solid">
        <x:fgColor rgb="E9EEF6"/>
      </x:patternFill>
    </x:fill>
  </x:fills>
  <x:borders count="13">
    <x:border/>
    <x:border>
      <x:bottom style="thin">
        <x:color rgb="E5E7EB"/>
      </x:bottom>
    </x:border>
    <x:border>
      <x:top style="thin">
        <x:color rgb="E5E7EB"/>
      </x:top>
      <x:bottom style="thin">
        <x:color rgb="E5E7EB"/>
      </x:bottom>
    </x:border>
    <x:border>
      <x:top style="thin">
        <x:color rgb="E5E7EB"/>
      </x:top>
    </x:border>
    <x:border>
      <x:right style="thin">
        <x:color rgb="EEF2F7"/>
      </x:right>
      <x:bottom style="thin">
        <x:color rgb="EEF2F7"/>
      </x:bottom>
    </x:border>
    <x:border>
      <x:left style="thin">
        <x:color rgb="EEF2F7"/>
      </x:left>
      <x:right style="thin">
        <x:color rgb="EEF2F7"/>
      </x:right>
      <x:bottom style="thin">
        <x:color rgb="EEF2F7"/>
      </x:bottom>
    </x:border>
    <x:border>
      <x:left style="thin">
        <x:color rgb="EEF2F7"/>
      </x:left>
      <x:bottom style="thin">
        <x:color rgb="EEF2F7"/>
      </x:bottom>
    </x:border>
    <x:border>
      <x:right style="thin">
        <x:color rgb="EEF2F7"/>
      </x:right>
      <x:top style="thin">
        <x:color rgb="EEF2F7"/>
      </x:top>
      <x:bottom style="thin">
        <x:color rgb="EEF2F7"/>
      </x:bottom>
    </x:border>
    <x:border>
      <x:left style="thin">
        <x:color rgb="EEF2F7"/>
      </x:left>
      <x:right style="thin">
        <x:color rgb="EEF2F7"/>
      </x:right>
      <x:top style="thin">
        <x:color rgb="EEF2F7"/>
      </x:top>
      <x:bottom style="thin">
        <x:color rgb="EEF2F7"/>
      </x:bottom>
    </x:border>
    <x:border>
      <x:left style="thin">
        <x:color rgb="EEF2F7"/>
      </x:left>
      <x:top style="thin">
        <x:color rgb="EEF2F7"/>
      </x:top>
      <x:bottom style="thin">
        <x:color rgb="EEF2F7"/>
      </x:bottom>
    </x:border>
    <x:border>
      <x:right style="thin">
        <x:color rgb="EEF2F7"/>
      </x:right>
      <x:top style="thin">
        <x:color rgb="EEF2F7"/>
      </x:top>
    </x:border>
    <x:border>
      <x:left style="thin">
        <x:color rgb="EEF2F7"/>
      </x:left>
      <x:right style="thin">
        <x:color rgb="EEF2F7"/>
      </x:right>
      <x:top style="thin">
        <x:color rgb="EEF2F7"/>
      </x:top>
    </x:border>
    <x:border>
      <x:left style="thin">
        <x:color rgb="EEF2F7"/>
      </x:left>
      <x:top style="thin">
        <x:color rgb="EEF2F7"/>
      </x:top>
    </x:border>
  </x:borders>
  <x:cellStyleXfs count="1">
    <x:xf numFmtId="0" fontId="0" fillId="0" borderId="0" applyFont="1" applyAlignment="1"/>
  </x:cellStyleXfs>
  <x:cellXfs count="143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vertical="top"/>
    </x:xf>
    <x:xf numFmtId="0" fontId="2" fillId="0" borderId="0" xfId="0" applyFont="1" applyAlignment="1">
      <x:alignment vertical="top"/>
    </x:xf>
    <x:xf numFmtId="0" fontId="2" fillId="0" borderId="0" xfId="0" applyFont="1" applyAlignment="1">
      <x:alignment horizontal="center" vertical="top" wrapText="1"/>
    </x:xf>
    <x:xf numFmtId="0" fontId="2" fillId="0" borderId="0" xfId="0" applyFont="1" applyAlignment="1">
      <x:alignment vertical="top" wrapText="1"/>
    </x:xf>
    <x:xf numFmtId="0" fontId="3" fillId="0" borderId="0" xfId="0" applyFont="1" applyAlignment="1">
      <x:alignment horizontal="center" vertical="center" wrapText="1"/>
    </x:xf>
    <x:xf numFmtId="49" fontId="4" fillId="0" borderId="0" xfId="0" applyNumberFormat="1" applyFont="1" applyAlignment="1">
      <x:alignment horizontal="center" vertical="center" wrapText="1"/>
    </x:xf>
    <x:xf numFmtId="0" fontId="2" fillId="0" borderId="0" xfId="0" applyFont="1" applyAlignment="1">
      <x:alignment vertical="top" wrapText="0"/>
    </x:xf>
    <x:xf numFmtId="164" fontId="5" fillId="0" borderId="0" xfId="0" applyNumberFormat="1" applyFont="1" applyAlignment="1">
      <x:alignment vertical="top" wrapText="0"/>
    </x:xf>
    <x:xf numFmtId="0" fontId="2" fillId="0" borderId="0" xfId="0" applyFont="1" applyAlignment="1">
      <x:alignment vertical="top" wrapText="0"/>
    </x:xf>
    <x:xf numFmtId="0" fontId="2" fillId="0" borderId="0" xfId="0" applyFont="1" applyAlignment="1">
      <x:alignment vertical="top" wrapText="1"/>
    </x:xf>
    <x:xf numFmtId="0" fontId="5" fillId="0" borderId="0" xfId="0" applyFont="1" applyAlignment="1">
      <x:alignment vertical="top" wrapText="1"/>
    </x:xf>
    <x:xf numFmtId="0" fontId="6" fillId="0" borderId="0" xfId="0" applyFont="1" applyAlignment="1">
      <x:alignment vertical="top" wrapText="0"/>
    </x:xf>
    <x:xf numFmtId="164" fontId="2" fillId="0" borderId="0" xfId="0" applyNumberFormat="1" applyFont="1" applyAlignment="1">
      <x:alignment vertical="top" wrapText="0"/>
    </x:xf>
    <x:xf numFmtId="0" fontId="5" fillId="0" borderId="0" xfId="0" applyFont="1" applyAlignment="1">
      <x:alignment vertical="top" wrapText="1"/>
    </x:xf>
    <x:xf numFmtId="0" fontId="5" fillId="0" borderId="0" xfId="0" applyFont="1" applyAlignment="1">
      <x:alignment vertical="top" wrapText="0"/>
    </x:xf>
    <x:xf numFmtId="0" fontId="5" fillId="0" borderId="0" xfId="0" applyFont="1" applyAlignment="1">
      <x:alignment vertical="top" wrapText="0"/>
    </x:xf>
    <x:xf numFmtId="0" fontId="5" fillId="0" borderId="0" xfId="0" applyFont="1" applyAlignment="1">
      <x:alignment vertical="center" wrapText="1"/>
    </x:xf>
    <x:xf numFmtId="0" fontId="7" fillId="2" borderId="0" xfId="0" applyFont="1" applyFill="1" applyAlignment="1">
      <x:alignment vertical="top" wrapText="0"/>
    </x:xf>
    <x:xf numFmtId="164" fontId="7" fillId="2" borderId="0" xfId="0" applyNumberFormat="1" applyFont="1" applyAlignment="1">
      <x:alignment vertical="top" wrapText="0"/>
    </x:xf>
    <x:xf numFmtId="0" fontId="7" fillId="2" borderId="0" xfId="0" applyFont="1" applyAlignment="1">
      <x:alignment vertical="top" wrapText="0"/>
    </x:xf>
    <x:xf numFmtId="0" fontId="8" fillId="2" borderId="0" xfId="0" applyFont="1" applyAlignment="1">
      <x:alignment vertical="top" wrapText="1"/>
    </x:xf>
    <x:xf numFmtId="0" fontId="7" fillId="2" borderId="0" xfId="0" applyFont="1" applyAlignment="1">
      <x:alignment vertical="top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0"/>
    </x:xf>
    <x:xf numFmtId="164" fontId="5" fillId="0" borderId="0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0"/>
    </x:xf>
    <x:xf numFmtId="164" fontId="2" fillId="0" borderId="0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top" wrapText="0"/>
    </x:xf>
    <x:xf numFmtId="164" fontId="7" fillId="2" borderId="0" xfId="0" applyNumberFormat="1" applyFont="1" applyFill="1" applyBorder="1" applyAlignment="1">
      <x:alignment vertical="top" wrapText="0"/>
    </x:xf>
    <x:xf numFmtId="0" fontId="8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bottom" wrapText="0"/>
    </x:xf>
    <x:xf numFmtId="0" fontId="9" fillId="3" borderId="0" xfId="0" applyNumberFormat="1" applyFont="1" applyFill="1" applyBorder="1" applyAlignment="1">
      <x:alignment vertical="bottom" wrapText="0"/>
    </x:xf>
    <x:xf numFmtId="0" fontId="9" fillId="3" borderId="0" xfId="0" applyNumberFormat="1" applyFont="1" applyFill="1" applyBorder="1" applyAlignment="1">
      <x:alignment vertical="center" wrapText="0"/>
    </x:xf>
    <x:xf numFmtId="0" fontId="10" fillId="3" borderId="0" xfId="0" applyNumberFormat="1" applyFont="1" applyFill="1" applyBorder="1" applyAlignment="1">
      <x:alignment vertical="bottom" wrapText="0"/>
    </x:xf>
    <x:xf numFmtId="0" fontId="10" fillId="3" borderId="0" xfId="0" applyNumberFormat="1" applyFont="1" applyFill="1" applyBorder="1" applyAlignment="1">
      <x:alignment vertical="center" wrapText="0"/>
    </x:xf>
    <x:xf numFmtId="0" fontId="11" fillId="3" borderId="0" xfId="0" applyNumberFormat="1" applyFont="1" applyFill="1" applyBorder="1" applyAlignment="1">
      <x:alignment vertical="bottom" wrapText="0"/>
    </x:xf>
    <x:xf numFmtId="0" fontId="11" fillId="3" borderId="1" xfId="0" applyNumberFormat="1" applyFont="1" applyFill="1" applyBorder="1" applyAlignment="1">
      <x:alignment vertical="bottom" wrapText="0"/>
    </x:xf>
    <x:xf numFmtId="0" fontId="11" fillId="3" borderId="2" xfId="0" applyNumberFormat="1" applyFont="1" applyFill="1" applyBorder="1" applyAlignment="1">
      <x:alignment vertical="bottom" wrapText="0"/>
    </x:xf>
    <x:xf numFmtId="0" fontId="11" fillId="3" borderId="3" xfId="0" applyNumberFormat="1" applyFont="1" applyFill="1" applyBorder="1" applyAlignment="1">
      <x:alignment vertical="bottom" wrapText="0"/>
    </x:xf>
    <x:xf numFmtId="0" fontId="0" fillId="4" borderId="0" xfId="0" applyNumberFormat="1" applyFont="1" applyFill="1" applyBorder="1" applyAlignment="1">
      <x:alignment vertical="bottom" wrapText="0"/>
    </x:xf>
    <x:xf numFmtId="0" fontId="12" fillId="4" borderId="0" xfId="0" applyNumberFormat="1" applyFont="1" applyFill="1" applyBorder="1" applyAlignment="1">
      <x:alignment vertical="bottom" wrapText="0"/>
    </x:xf>
    <x:xf numFmtId="0" fontId="12" fillId="4" borderId="1" xfId="0" applyNumberFormat="1" applyFont="1" applyFill="1" applyBorder="1" applyAlignment="1">
      <x:alignment vertical="bottom" wrapText="0"/>
    </x:xf>
    <x:xf numFmtId="0" fontId="12" fillId="4" borderId="2" xfId="0" applyNumberFormat="1" applyFont="1" applyFill="1" applyBorder="1" applyAlignment="1">
      <x:alignment vertical="bottom" wrapText="0"/>
    </x:xf>
    <x:xf numFmtId="0" fontId="12" fillId="4" borderId="3" xfId="0" applyNumberFormat="1" applyFont="1" applyFill="1" applyBorder="1" applyAlignment="1">
      <x:alignment vertical="bottom" wrapText="0"/>
    </x:xf>
    <x:xf numFmtId="0" fontId="12" fillId="4" borderId="1" xfId="0" applyNumberFormat="1" applyFont="1" applyFill="1" applyBorder="1" applyAlignment="1">
      <x:alignment horizontal="center" vertical="bottom" wrapText="0"/>
    </x:xf>
    <x:xf numFmtId="0" fontId="12" fillId="4" borderId="2" xfId="0" applyNumberFormat="1" applyFont="1" applyFill="1" applyBorder="1" applyAlignment="1">
      <x:alignment horizontal="center" vertical="bottom" wrapText="0"/>
    </x:xf>
    <x:xf numFmtId="0" fontId="12" fillId="4" borderId="3" xfId="0" applyNumberFormat="1" applyFont="1" applyFill="1" applyBorder="1" applyAlignment="1">
      <x:alignment horizontal="center" vertical="bottom" wrapText="0"/>
    </x:xf>
    <x:xf numFmtId="0" fontId="0" fillId="5" borderId="0" xfId="0" applyNumberFormat="1" applyFont="1" applyFill="1" applyBorder="1" applyAlignment="1">
      <x:alignment vertical="bottom" wrapText="0"/>
    </x:xf>
    <x:xf numFmtId="0" fontId="1" fillId="5" borderId="0" xfId="0" applyNumberFormat="1" applyFont="1" applyFill="1" applyBorder="1" applyAlignment="1">
      <x:alignment vertical="bottom" wrapText="0"/>
    </x:xf>
    <x:xf numFmtId="0" fontId="1" fillId="5" borderId="0" xfId="0" applyNumberFormat="1" applyFont="1" applyFill="1" applyBorder="1" applyAlignment="1">
      <x:alignment vertical="center" wrapText="0"/>
    </x:xf>
    <x:xf numFmtId="0" fontId="13" fillId="0" borderId="0" xfId="0" applyNumberFormat="1" applyFont="1" applyFill="1" applyBorder="1" applyAlignment="1">
      <x:alignment vertical="bottom" wrapText="0"/>
    </x:xf>
    <x:xf numFmtId="0" fontId="13" fillId="0" borderId="4" xfId="0" applyNumberFormat="1" applyFont="1" applyFill="1" applyBorder="1" applyAlignment="1">
      <x:alignment vertical="bottom" wrapText="0"/>
    </x:xf>
    <x:xf numFmtId="0" fontId="13" fillId="0" borderId="5" xfId="0" applyNumberFormat="1" applyFont="1" applyFill="1" applyBorder="1" applyAlignment="1">
      <x:alignment vertical="bottom" wrapText="0"/>
    </x:xf>
    <x:xf numFmtId="0" fontId="13" fillId="0" borderId="6" xfId="0" applyNumberFormat="1" applyFont="1" applyFill="1" applyBorder="1" applyAlignment="1">
      <x:alignment vertical="bottom" wrapText="0"/>
    </x:xf>
    <x:xf numFmtId="0" fontId="13" fillId="0" borderId="7" xfId="0" applyNumberFormat="1" applyFont="1" applyFill="1" applyBorder="1" applyAlignment="1">
      <x:alignment vertical="bottom" wrapText="0"/>
    </x:xf>
    <x:xf numFmtId="0" fontId="13" fillId="0" borderId="8" xfId="0" applyNumberFormat="1" applyFont="1" applyFill="1" applyBorder="1" applyAlignment="1">
      <x:alignment vertical="bottom" wrapText="0"/>
    </x:xf>
    <x:xf numFmtId="0" fontId="13" fillId="0" borderId="9" xfId="0" applyNumberFormat="1" applyFont="1" applyFill="1" applyBorder="1" applyAlignment="1">
      <x:alignment vertical="bottom" wrapText="0"/>
    </x:xf>
    <x:xf numFmtId="0" fontId="13" fillId="0" borderId="10" xfId="0" applyNumberFormat="1" applyFont="1" applyFill="1" applyBorder="1" applyAlignment="1">
      <x:alignment vertical="bottom" wrapText="0"/>
    </x:xf>
    <x:xf numFmtId="0" fontId="13" fillId="0" borderId="11" xfId="0" applyNumberFormat="1" applyFont="1" applyFill="1" applyBorder="1" applyAlignment="1">
      <x:alignment vertical="bottom" wrapText="0"/>
    </x:xf>
    <x:xf numFmtId="0" fontId="13" fillId="0" borderId="12" xfId="0" applyNumberFormat="1" applyFont="1" applyFill="1" applyBorder="1" applyAlignment="1">
      <x:alignment vertical="bottom" wrapText="0"/>
    </x:xf>
    <x:xf numFmtId="0" fontId="13" fillId="0" borderId="4" xfId="0" applyNumberFormat="1" applyFont="1" applyFill="1" applyBorder="1" applyAlignment="1">
      <x:alignment vertical="bottom" wrapText="1"/>
    </x:xf>
    <x:xf numFmtId="0" fontId="13" fillId="0" borderId="5" xfId="0" applyNumberFormat="1" applyFont="1" applyFill="1" applyBorder="1" applyAlignment="1">
      <x:alignment vertical="bottom" wrapText="1"/>
    </x:xf>
    <x:xf numFmtId="0" fontId="13" fillId="0" borderId="6" xfId="0" applyNumberFormat="1" applyFont="1" applyFill="1" applyBorder="1" applyAlignment="1">
      <x:alignment vertical="bottom" wrapText="1"/>
    </x:xf>
    <x:xf numFmtId="0" fontId="13" fillId="0" borderId="7" xfId="0" applyNumberFormat="1" applyFont="1" applyFill="1" applyBorder="1" applyAlignment="1">
      <x:alignment vertical="bottom" wrapText="1"/>
    </x:xf>
    <x:xf numFmtId="0" fontId="13" fillId="0" borderId="8" xfId="0" applyNumberFormat="1" applyFont="1" applyFill="1" applyBorder="1" applyAlignment="1">
      <x:alignment vertical="bottom" wrapText="1"/>
    </x:xf>
    <x:xf numFmtId="0" fontId="13" fillId="0" borderId="9" xfId="0" applyNumberFormat="1" applyFont="1" applyFill="1" applyBorder="1" applyAlignment="1">
      <x:alignment vertical="bottom" wrapText="1"/>
    </x:xf>
    <x:xf numFmtId="0" fontId="13" fillId="0" borderId="10" xfId="0" applyNumberFormat="1" applyFont="1" applyFill="1" applyBorder="1" applyAlignment="1">
      <x:alignment vertical="bottom" wrapText="1"/>
    </x:xf>
    <x:xf numFmtId="0" fontId="13" fillId="0" borderId="11" xfId="0" applyNumberFormat="1" applyFont="1" applyFill="1" applyBorder="1" applyAlignment="1">
      <x:alignment vertical="bottom" wrapText="1"/>
    </x:xf>
    <x:xf numFmtId="0" fontId="13" fillId="0" borderId="12" xfId="0" applyNumberFormat="1" applyFont="1" applyFill="1" applyBorder="1" applyAlignment="1">
      <x:alignment vertical="bottom" wrapText="1"/>
    </x:xf>
    <x:xf numFmtId="0" fontId="13" fillId="0" borderId="4" xfId="0" applyNumberFormat="1" applyFont="1" applyFill="1" applyBorder="1" applyAlignment="1">
      <x:alignment vertical="top" wrapText="1"/>
    </x:xf>
    <x:xf numFmtId="0" fontId="13" fillId="0" borderId="5" xfId="0" applyNumberFormat="1" applyFont="1" applyFill="1" applyBorder="1" applyAlignment="1">
      <x:alignment vertical="top" wrapText="1"/>
    </x:xf>
    <x:xf numFmtId="0" fontId="13" fillId="0" borderId="6" xfId="0" applyNumberFormat="1" applyFont="1" applyFill="1" applyBorder="1" applyAlignment="1">
      <x:alignment vertical="top" wrapText="1"/>
    </x:xf>
    <x:xf numFmtId="0" fontId="13" fillId="0" borderId="7" xfId="0" applyNumberFormat="1" applyFont="1" applyFill="1" applyBorder="1" applyAlignment="1">
      <x:alignment vertical="top" wrapText="1"/>
    </x:xf>
    <x:xf numFmtId="0" fontId="13" fillId="0" borderId="8" xfId="0" applyNumberFormat="1" applyFont="1" applyFill="1" applyBorder="1" applyAlignment="1">
      <x:alignment vertical="top" wrapText="1"/>
    </x:xf>
    <x:xf numFmtId="0" fontId="13" fillId="0" borderId="9" xfId="0" applyNumberFormat="1" applyFont="1" applyFill="1" applyBorder="1" applyAlignment="1">
      <x:alignment vertical="top" wrapText="1"/>
    </x:xf>
    <x:xf numFmtId="0" fontId="13" fillId="0" borderId="10" xfId="0" applyNumberFormat="1" applyFont="1" applyFill="1" applyBorder="1" applyAlignment="1">
      <x:alignment vertical="top" wrapText="1"/>
    </x:xf>
    <x:xf numFmtId="0" fontId="13" fillId="0" borderId="11" xfId="0" applyNumberFormat="1" applyFont="1" applyFill="1" applyBorder="1" applyAlignment="1">
      <x:alignment vertical="top" wrapText="1"/>
    </x:xf>
    <x:xf numFmtId="0" fontId="13" fillId="0" borderId="12" xfId="0" applyNumberFormat="1" applyFont="1" applyFill="1" applyBorder="1" applyAlignment="1">
      <x:alignment vertical="top" wrapText="1"/>
    </x:xf>
    <x:xf numFmtId="0" fontId="13" fillId="6" borderId="4" xfId="0" applyNumberFormat="1" applyFont="1" applyFill="1" applyBorder="1" applyAlignment="1">
      <x:alignment vertical="top" wrapText="1"/>
    </x:xf>
    <x:xf numFmtId="0" fontId="13" fillId="6" borderId="5" xfId="0" applyNumberFormat="1" applyFont="1" applyFill="1" applyBorder="1" applyAlignment="1">
      <x:alignment vertical="top" wrapText="1"/>
    </x:xf>
    <x:xf numFmtId="0" fontId="13" fillId="6" borderId="6" xfId="0" applyNumberFormat="1" applyFont="1" applyFill="1" applyBorder="1" applyAlignment="1">
      <x:alignment vertical="top" wrapText="1"/>
    </x:xf>
    <x:xf numFmtId="0" fontId="14" fillId="6" borderId="4" xfId="0" applyNumberFormat="1" applyFont="1" applyFill="1" applyBorder="1" applyAlignment="1">
      <x:alignment vertical="top" wrapText="1"/>
    </x:xf>
    <x:xf numFmtId="0" fontId="14" fillId="6" borderId="5" xfId="0" applyNumberFormat="1" applyFont="1" applyFill="1" applyBorder="1" applyAlignment="1">
      <x:alignment vertical="top" wrapText="1"/>
    </x:xf>
    <x:xf numFmtId="0" fontId="14" fillId="6" borderId="6" xfId="0" applyNumberFormat="1" applyFont="1" applyFill="1" applyBorder="1" applyAlignment="1">
      <x:alignment vertical="top" wrapText="1"/>
    </x:xf>
    <x:xf numFmtId="0" fontId="14" fillId="6" borderId="4" xfId="0" applyNumberFormat="1" applyFont="1" applyFill="1" applyBorder="1" applyAlignment="1">
      <x:alignment horizontal="center" vertical="top" wrapText="1"/>
    </x:xf>
    <x:xf numFmtId="0" fontId="14" fillId="6" borderId="5" xfId="0" applyNumberFormat="1" applyFont="1" applyFill="1" applyBorder="1" applyAlignment="1">
      <x:alignment horizontal="center" vertical="top" wrapText="1"/>
    </x:xf>
    <x:xf numFmtId="0" fontId="14" fillId="6" borderId="4" xfId="0" applyNumberFormat="1" applyFont="1" applyFill="1" applyBorder="1" applyAlignment="1">
      <x:alignment horizontal="center" vertical="center" wrapText="1"/>
    </x:xf>
    <x:xf numFmtId="0" fontId="14" fillId="6" borderId="5" xfId="0" applyNumberFormat="1" applyFont="1" applyFill="1" applyBorder="1" applyAlignment="1">
      <x:alignment horizontal="center" vertical="center" wrapText="1"/>
    </x:xf>
    <x:xf numFmtId="200" fontId="13" fillId="0" borderId="9" xfId="0" applyNumberFormat="1" applyFont="1" applyFill="1" applyBorder="1" applyAlignment="1">
      <x:alignment vertical="top" wrapText="1"/>
    </x:xf>
    <x:xf numFmtId="200" fontId="13" fillId="0" borderId="12" xfId="0" applyNumberFormat="1" applyFont="1" applyFill="1" applyBorder="1" applyAlignment="1">
      <x:alignment vertical="top" wrapText="1"/>
    </x:xf>
    <x:xf numFmtId="201" fontId="13" fillId="0" borderId="8" xfId="0" applyNumberFormat="1" applyFont="1" applyFill="1" applyBorder="1" applyAlignment="1">
      <x:alignment vertical="top" wrapText="1"/>
    </x:xf>
    <x:xf numFmtId="201" fontId="13" fillId="0" borderId="11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 applyAlignment="1">
      <x:alignment horizontal="center" vertical="center" wrapText="1"/>
    </x:xf>
    <x:xf numFmtId="49" fontId="14" fillId="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top" wrapText="0"/>
    </x:xf>
    <x:xf numFmtId="164" fontId="13" fillId="0" borderId="0" xfId="0" applyNumberFormat="1" applyFont="1" applyFill="1" applyBorder="1" applyAlignment="1">
      <x:alignment vertical="top" wrapText="0"/>
    </x:xf>
    <x:xf numFmtId="0" fontId="13" fillId="0" borderId="0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 applyAlignment="1">
      <x:alignment vertical="top" wrapText="0"/>
    </x:xf>
    <x:xf numFmtId="0" fontId="13" fillId="0" borderId="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top" wrapText="0"/>
    </x:xf>
    <x:xf numFmtId="164" fontId="13" fillId="2" borderId="0" xfId="0" applyNumberFormat="1" applyFont="1" applyFill="1" applyBorder="1" applyAlignment="1">
      <x:alignment vertical="top" wrapText="0"/>
    </x:xf>
    <x:xf numFmtId="0" fontId="13" fillId="2" borderId="0" xfId="0" applyNumberFormat="1" applyFont="1" applyFill="1" applyBorder="1" applyAlignment="1">
      <x:alignment vertical="top" wrapText="1"/>
    </x:xf>
    <x:xf numFmtId="0" fontId="14" fillId="0" borderId="4" xfId="0" applyNumberFormat="1" applyFont="1" applyFill="1" applyBorder="1" applyAlignment="1">
      <x:alignment horizontal="center" vertical="center" wrapText="1"/>
    </x:xf>
    <x:xf numFmtId="0" fontId="14" fillId="0" borderId="5" xfId="0" applyNumberFormat="1" applyFont="1" applyFill="1" applyBorder="1" applyAlignment="1">
      <x:alignment horizontal="center" vertical="center" wrapText="1"/>
    </x:xf>
    <x:xf numFmtId="49" fontId="14" fillId="0" borderId="5" xfId="0" applyNumberFormat="1" applyFont="1" applyFill="1" applyBorder="1" applyAlignment="1">
      <x:alignment horizontal="center" vertical="center" wrapText="1"/>
    </x:xf>
    <x:xf numFmtId="0" fontId="14" fillId="0" borderId="6" xfId="0" applyNumberFormat="1" applyFont="1" applyFill="1" applyBorder="1" applyAlignment="1">
      <x:alignment horizontal="center" vertical="center" wrapText="1"/>
    </x:xf>
    <x:xf numFmtId="0" fontId="13" fillId="0" borderId="7" xfId="0" applyNumberFormat="1" applyFont="1" applyFill="1" applyBorder="1" applyAlignment="1">
      <x:alignment vertical="top" wrapText="0"/>
    </x:xf>
    <x:xf numFmtId="164" fontId="13" fillId="0" borderId="8" xfId="0" applyNumberFormat="1" applyFont="1" applyFill="1" applyBorder="1" applyAlignment="1">
      <x:alignment vertical="top" wrapText="0"/>
    </x:xf>
    <x:xf numFmtId="0" fontId="13" fillId="0" borderId="8" xfId="0" applyNumberFormat="1" applyFont="1" applyFill="1" applyBorder="1" applyAlignment="1">
      <x:alignment vertical="top" wrapText="0"/>
    </x:xf>
    <x:xf numFmtId="0" fontId="14" fillId="0" borderId="8" xfId="0" applyNumberFormat="1" applyFont="1" applyFill="1" applyBorder="1" applyAlignment="1">
      <x:alignment vertical="top" wrapText="0"/>
    </x:xf>
    <x:xf numFmtId="0" fontId="13" fillId="0" borderId="8" xfId="0" applyNumberFormat="1" applyFont="1" applyFill="1" applyBorder="1" applyAlignment="1">
      <x:alignment vertical="center" wrapText="1"/>
    </x:xf>
    <x:xf numFmtId="0" fontId="13" fillId="2" borderId="7" xfId="0" applyNumberFormat="1" applyFont="1" applyFill="1" applyBorder="1" applyAlignment="1">
      <x:alignment vertical="top" wrapText="0"/>
    </x:xf>
    <x:xf numFmtId="164" fontId="13" fillId="2" borderId="8" xfId="0" applyNumberFormat="1" applyFont="1" applyFill="1" applyBorder="1" applyAlignment="1">
      <x:alignment vertical="top" wrapText="0"/>
    </x:xf>
    <x:xf numFmtId="0" fontId="13" fillId="2" borderId="8" xfId="0" applyNumberFormat="1" applyFont="1" applyFill="1" applyBorder="1" applyAlignment="1">
      <x:alignment vertical="top" wrapText="0"/>
    </x:xf>
    <x:xf numFmtId="0" fontId="13" fillId="2" borderId="8" xfId="0" applyNumberFormat="1" applyFont="1" applyFill="1" applyBorder="1" applyAlignment="1">
      <x:alignment vertical="top" wrapText="1"/>
    </x:xf>
    <x:xf numFmtId="0" fontId="13" fillId="2" borderId="9" xfId="0" applyNumberFormat="1" applyFont="1" applyFill="1" applyBorder="1" applyAlignment="1">
      <x:alignment vertical="top" wrapText="1"/>
    </x:xf>
    <x:xf numFmtId="0" fontId="13" fillId="0" borderId="10" xfId="0" applyNumberFormat="1" applyFont="1" applyFill="1" applyBorder="1" applyAlignment="1">
      <x:alignment vertical="top" wrapText="0"/>
    </x:xf>
    <x:xf numFmtId="164" fontId="13" fillId="0" borderId="11" xfId="0" applyNumberFormat="1" applyFont="1" applyFill="1" applyBorder="1" applyAlignment="1">
      <x:alignment vertical="top" wrapText="0"/>
    </x:xf>
    <x:xf numFmtId="0" fontId="13" fillId="0" borderId="11" xfId="0" applyNumberFormat="1" applyFont="1" applyFill="1" applyBorder="1" applyAlignment="1">
      <x:alignment vertical="top" wrapText="0"/>
    </x:xf>
    <x:xf numFmtId="164" fontId="13" fillId="0" borderId="8" xfId="0" applyNumberFormat="1" applyFont="1" applyFill="1" applyBorder="1" applyAlignment="1">
      <x:alignment vertical="top" wrapText="1"/>
    </x:xf>
    <x:xf numFmtId="0" fontId="14" fillId="0" borderId="8" xfId="0" applyNumberFormat="1" applyFont="1" applyFill="1" applyBorder="1" applyAlignment="1">
      <x:alignment vertical="top" wrapText="1"/>
    </x:xf>
    <x:xf numFmtId="0" fontId="13" fillId="2" borderId="7" xfId="0" applyNumberFormat="1" applyFont="1" applyFill="1" applyBorder="1" applyAlignment="1">
      <x:alignment vertical="top" wrapText="1"/>
    </x:xf>
    <x:xf numFmtId="164" fontId="13" fillId="2" borderId="8" xfId="0" applyNumberFormat="1" applyFont="1" applyFill="1" applyBorder="1" applyAlignment="1">
      <x:alignment vertical="top" wrapText="1"/>
    </x:xf>
    <x:xf numFmtId="164" fontId="13" fillId="0" borderId="11" xfId="0" applyNumberFormat="1" applyFont="1" applyFill="1" applyBorder="1" applyAlignment="1">
      <x:alignment vertical="top" wrapText="1"/>
    </x:xf>
    <x:xf numFmtId="0" fontId="14" fillId="0" borderId="4" xfId="0" applyNumberFormat="1" applyFont="1" applyFill="1" applyBorder="1" applyAlignment="1">
      <x:alignment horizontal="center" vertical="top" wrapText="1"/>
    </x:xf>
    <x:xf numFmtId="0" fontId="14" fillId="0" borderId="5" xfId="0" applyNumberFormat="1" applyFont="1" applyFill="1" applyBorder="1" applyAlignment="1">
      <x:alignment horizontal="center" vertical="top" wrapText="1"/>
    </x:xf>
    <x:xf numFmtId="49" fontId="14" fillId="0" borderId="5" xfId="0" applyNumberFormat="1" applyFont="1" applyFill="1" applyBorder="1" applyAlignment="1">
      <x:alignment horizontal="center" vertical="top" wrapText="1"/>
    </x:xf>
    <x:xf numFmtId="0" fontId="14" fillId="0" borderId="6" xfId="0" applyNumberFormat="1" applyFont="1" applyFill="1" applyBorder="1" applyAlignment="1">
      <x:alignment horizontal="center" vertical="top" wrapText="1"/>
    </x:xf>
    <x:xf numFmtId="49" fontId="14" fillId="6" borderId="5" xfId="0" applyNumberFormat="1" applyFont="1" applyFill="1" applyBorder="1" applyAlignment="1">
      <x:alignment horizontal="center" vertical="top" wrapText="1"/>
    </x:xf>
    <x:xf numFmtId="0" fontId="14" fillId="6" borderId="6" xfId="0" applyNumberFormat="1" applyFont="1" applyFill="1" applyBorder="1" applyAlignment="1">
      <x:alignment horizontal="center" vertical="top" wrapText="1"/>
    </x:xf>
    <x:xf numFmtId="49" fontId="14" fillId="6" borderId="5" xfId="0" applyNumberFormat="1" applyFont="1" applyFill="1" applyBorder="1" applyAlignment="1">
      <x:alignment horizontal="center" vertical="center" wrapText="1"/>
    </x:xf>
    <x:xf numFmtId="201" fontId="13" fillId="2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24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ont>
        <x:b/>
        <x:color rgb="1E3A8A"/>
      </x:font>
      <x:fill>
        <x:patternFill patternType="solid">
          <x:bgColor rgb="DDEBFF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1D4ED8"/>
      </x:font>
      <x:fill>
        <x:patternFill patternType="solid">
          <x:bgColor rgb="DBEAFE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color rgb="9A3412"/>
      </x:font>
      <x:fill>
        <x:patternFill patternType="solid">
          <x:bgColor rgb="FFEDD5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1D4ED8"/>
      </x:font>
      <x:fill>
        <x:patternFill patternType="solid">
          <x:bgColor rgb="DBEAFE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color rgb="9A3412"/>
      </x:font>
      <x:fill>
        <x:patternFill patternType="solid">
          <x:bgColor rgb="FFEDD5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1D4ED8"/>
      </x:font>
      <x:fill>
        <x:patternFill patternType="solid">
          <x:bgColor rgb="DBEAFE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color rgb="9A3412"/>
      </x:font>
      <x:fill>
        <x:patternFill patternType="solid">
          <x:bgColor rgb="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1dc8ae47b4705" /><Relationship Type="http://schemas.openxmlformats.org/officeDocument/2006/relationships/theme" Target="/xl/theme/theme1.xml" Id="R3e684d3d5d8540b0" /><Relationship Type="http://schemas.openxmlformats.org/officeDocument/2006/relationships/sharedStrings" Target="/xl/sharedStrings.xml" Id="R78f49031662d4f32" /><Relationship Type="http://schemas.openxmlformats.org/officeDocument/2006/relationships/worksheet" Target="/xl/worksheets/sheet1.xml" Id="R084a2979f4434f86" /><Relationship Type="http://schemas.openxmlformats.org/officeDocument/2006/relationships/worksheet" Target="/xl/worksheets/sheet2.xml" Id="Rdc36a9b679304569" /><Relationship Type="http://schemas.openxmlformats.org/officeDocument/2006/relationships/worksheet" Target="/xl/worksheets/sheet3.xml" Id="Re45aa816156d4069" /><Relationship Type="http://schemas.openxmlformats.org/officeDocument/2006/relationships/worksheet" Target="/xl/worksheets/sheet4.xml" Id="R31685063e8e84fc6" /><Relationship Type="http://schemas.openxmlformats.org/officeDocument/2006/relationships/worksheet" Target="/xl/worksheets/sheet5.xml" Id="Rb908f3f0a1194212" /><Relationship Type="http://schemas.openxmlformats.org/officeDocument/2006/relationships/worksheet" Target="/xl/worksheets/sheet6.xml" Id="Rb2e345597f5f4229" /></Relationships>
</file>

<file path=xl/tables/table1.xml><?xml version="1.0" encoding="utf-8"?>
<x:table xmlns:x="http://schemas.openxmlformats.org/spreadsheetml/2006/main" id="1" name="Table1" displayName="Table1" ref="A1:M354">
  <x:tableColumns count="13">
    <x:tableColumn id="1" name="ID"/>
    <x:tableColumn id="2" name="Fecha base"/>
    <x:tableColumn id="3" name="Mes"/>
    <x:tableColumn id="4" name="Año"/>
    <x:tableColumn id="5" name="Etapa"/>
    <x:tableColumn id="6" name="Rubro"/>
    <x:tableColumn id="7" name="Actividad"/>
    <x:tableColumn id="8" name="Responsable"/>
    <x:tableColumn id="9" name="Contacto"/>
    <x:tableColumn id="10" name="Estado"/>
    <x:tableColumn id="11" name="Prioridad"/>
    <x:tableColumn id="12" name="Dependencia"/>
    <x:tableColumn id="13" name="Comentarios"/>
  </x:tableColumns>
  <x:tableStyleInfo name="Cronograma completo-style" showFirstColumn="1" showLastColumn="1" showRowStripes="1"/>
</x:table>
</file>

<file path=xl/tables/table2.xml><?xml version="1.0" encoding="utf-8"?>
<x:table xmlns:x="http://schemas.openxmlformats.org/spreadsheetml/2006/main" id="2" name="CronogramaTable" displayName="CronogramaTable" ref="A1:M354" headerRowCount="1">
  <x:tableColumns count="13">
    <x:tableColumn id="1" name="ID"/>
    <x:tableColumn id="2" name="Fecha base"/>
    <x:tableColumn id="3" name="Mes"/>
    <x:tableColumn id="4" name="Año"/>
    <x:tableColumn id="5" name="Etapa"/>
    <x:tableColumn id="6" name="Rubro"/>
    <x:tableColumn id="7" name="Actividad"/>
    <x:tableColumn id="8" name="Responsable"/>
    <x:tableColumn id="9" name="Contacto"/>
    <x:tableColumn id="10" name="Estado"/>
    <x:tableColumn id="11" name="Prioridad"/>
    <x:tableColumn id="12" name="Dependencia"/>
    <x:tableColumn id="13" name="Comentarios"/>
  </x:tableColumns>
  <x:tableStyleInfo name="TableStyleMedium2" showRowStripes="1"/>
</x:table>
</file>

<file path=xl/tables/table3.xml><?xml version="1.0" encoding="utf-8"?>
<x:table xmlns:x="http://schemas.openxmlformats.org/spreadsheetml/2006/main" id="3" name="Pendientes90Table" displayName="Pendientes90Table" ref="A1:M20" headerRowCount="1">
  <x:tableColumns count="13">
    <x:tableColumn id="1" name="ID"/>
    <x:tableColumn id="2" name="Fecha base"/>
    <x:tableColumn id="3" name="Mes"/>
    <x:tableColumn id="4" name="Año"/>
    <x:tableColumn id="5" name="Etapa"/>
    <x:tableColumn id="6" name="Rubro"/>
    <x:tableColumn id="7" name="Actividad"/>
    <x:tableColumn id="8" name="Responsable"/>
    <x:tableColumn id="9" name="Contacto"/>
    <x:tableColumn id="10" name="Estado"/>
    <x:tableColumn id="11" name="Prioridad"/>
    <x:tableColumn id="12" name="Dependencia"/>
    <x:tableColumn id="13" name="Comentarios"/>
  </x:tableColumns>
  <x:tableStyleInfo name="TableStyleMedium2" showRowStripes="1"/>
</x:table>
</file>

<file path=xl/tables/table4.xml><?xml version="1.0" encoding="utf-8"?>
<x:table xmlns:x="http://schemas.openxmlformats.org/spreadsheetml/2006/main" id="4" name="HitosTable" displayName="HitosTable" ref="A1:K266" headerRowCount="1">
  <x:tableColumns count="11">
    <x:tableColumn id="1" name="ID"/>
    <x:tableColumn id="2" name="Fecha estimada"/>
    <x:tableColumn id="3" name="Mes"/>
    <x:tableColumn id="4" name="Año"/>
    <x:tableColumn id="5" name="Hito / Actividad"/>
    <x:tableColumn id="6" name="Etapa"/>
    <x:tableColumn id="7" name="Rubro"/>
    <x:tableColumn id="8" name="Responsable"/>
    <x:tableColumn id="9" name="Estado"/>
    <x:tableColumn id="10" name="Prioridad"/>
    <x:tableColumn id="11" name="Comentario"/>
  </x:tableColumns>
  <x:tableStyleInfo name="TableStyleMedium2" showRowStripes="1"/>
</x:table>
</file>

<file path=xl/tables/table5.xml><?xml version="1.0" encoding="utf-8"?>
<x:table xmlns:x="http://schemas.openxmlformats.org/spreadsheetml/2006/main" id="5" name="GanttTable" displayName="GanttTable" ref="A1:AN29" headerRowCount="1">
  <x:tableColumns count="40">
    <x:tableColumn id="1" name="Etapa"/>
    <x:tableColumn id="2" name="Rubro"/>
    <x:tableColumn id="3" name="Responsable principal"/>
    <x:tableColumn id="4" name="Inicio"/>
    <x:tableColumn id="5" name="Fin"/>
    <x:tableColumn id="6" name="Total"/>
    <x:tableColumn id="7" name="May-26"/>
    <x:tableColumn id="8" name="Jun-26"/>
    <x:tableColumn id="9" name="Jul-26"/>
    <x:tableColumn id="10" name="Ago-26"/>
    <x:tableColumn id="11" name="Sep-26"/>
    <x:tableColumn id="12" name="Oct-26"/>
    <x:tableColumn id="13" name="Nov-26"/>
    <x:tableColumn id="14" name="Dic-26"/>
    <x:tableColumn id="15" name="Ene-27"/>
    <x:tableColumn id="16" name="Feb-27"/>
    <x:tableColumn id="17" name="Mar-27"/>
    <x:tableColumn id="18" name="Abr-27"/>
    <x:tableColumn id="19" name="May-27"/>
    <x:tableColumn id="20" name="Jun-27"/>
    <x:tableColumn id="21" name="Jul-27"/>
    <x:tableColumn id="22" name="Ago-27"/>
    <x:tableColumn id="23" name="Sep-27"/>
    <x:tableColumn id="24" name="Oct-27"/>
    <x:tableColumn id="25" name="Nov-27"/>
    <x:tableColumn id="26" name="Dic-27"/>
    <x:tableColumn id="27" name="Ene-28"/>
    <x:tableColumn id="28" name="Feb-28"/>
    <x:tableColumn id="29" name="Mar-28"/>
    <x:tableColumn id="30" name="Abr-28"/>
    <x:tableColumn id="31" name="May-28"/>
    <x:tableColumn id="32" name="Jun-28"/>
    <x:tableColumn id="33" name="Jul-28"/>
    <x:tableColumn id="34" name="Ago-28"/>
    <x:tableColumn id="35" name="Sep-28"/>
    <x:tableColumn id="36" name="Oct-28"/>
    <x:tableColumn id="37" name="Nov-28"/>
    <x:tableColumn id="38" name="Dic-28"/>
    <x:tableColumn id="39" name="Ene-29"/>
    <x:tableColumn id="40" name="Feb-29"/>
  </x:tableColumns>
  <x:tableStyleInfo name="TableStyleMedium2" showRowStripes="1"/>
</x:table>
</file>

<file path=xl/tables/table6.xml><?xml version="1.0" encoding="utf-8"?>
<x:table xmlns:x="http://schemas.openxmlformats.org/spreadsheetml/2006/main" id="6" name="RubrosTable" displayName="RubrosTable" ref="A1:J27" headerRowCount="1">
  <x:tableColumns count="10">
    <x:tableColumn id="1" name="Rubro"/>
    <x:tableColumn id="2" name="Etapa principal"/>
    <x:tableColumn id="3" name="Responsable principal"/>
    <x:tableColumn id="4" name="Actividades"/>
    <x:tableColumn id="5" name="Pendientes"/>
    <x:tableColumn id="6" name="En curso"/>
    <x:tableColumn id="7" name="Completadas"/>
    <x:tableColumn id="8" name="Críticas"/>
    <x:tableColumn id="9" name="Inicio"/>
    <x:tableColumn id="10" name="Fin"/>
  </x:tableColumns>
  <x:tableStyleInfo name="TableStyleMedium2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572b7761054931" /><Relationship Type="http://schemas.openxmlformats.org/officeDocument/2006/relationships/table" Target="/xl/tables/table2.xml" Id="R4c4c7228954d46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f0e3e65ac94c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9ea2e20ea2a4a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e6fdbb1b3ff40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9311a8808ad4f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4" hidden="0" customWidth="1"/>
    <x:col min="2" max="2" width="18" hidden="0" customWidth="1"/>
    <x:col min="3" max="3" width="2" hidden="0" customWidth="1"/>
    <x:col min="4" max="4" width="2" hidden="0" customWidth="1"/>
    <x:col min="5" max="6" width="24" customWidth="1"/>
    <x:col min="7" max="26" width="8.630000114440918" customWidth="1"/>
    <x:col min="5" max="5" width="2" hidden="0" customWidth="1"/>
    <x:col min="6" max="6" width="22" hidden="0" customWidth="1"/>
    <x:col min="7" max="7" width="12" hidden="0" customWidth="1"/>
    <x:col min="8" max="8" width="12" hidden="0" customWidth="1"/>
  </x:cols>
  <x:sheetData>
    <x:row r="1" ht="24" customHeight="1">
      <x:c r="A1" s="43" t="str">
        <x:v>Cronograma Vidal 3849 - v0.3</x:v>
      </x:c>
      <x:c r="B1" s="43"/>
      <x:c r="C1" s="43"/>
      <x:c r="D1" s="43"/>
      <x:c r="E1" s="43"/>
      <x:c r="F1" s="43"/>
      <x:c r="G1" s="43"/>
      <x:c r="H1" s="43"/>
    </x:row>
    <x:row r="2" ht="22" customHeight="1">
      <x:c r="A2" s="45" t="str">
        <x:v>Generado a partir de la hoja 'Cronograma completo' de la v0.2. Fecha base: Mayo 2026.</x:v>
      </x:c>
      <x:c r="B2" s="45"/>
      <x:c r="C2" s="45"/>
      <x:c r="D2" s="45"/>
      <x:c r="E2" s="45"/>
      <x:c r="F2" s="45"/>
      <x:c r="G2" s="45"/>
      <x:c r="H2" s="45"/>
    </x:row>
    <x:row r="3" ht="22" customHeight="1">
      <x:c r="A3"/>
      <x:c r="B3"/>
      <x:c r="C3"/>
      <x:c r="D3"/>
      <x:c r="E3"/>
      <x:c r="F3"/>
    </x:row>
    <x:row r="4" ht="22" customHeight="1">
      <x:c r="A4" s="47" t="str">
        <x:v>Total actividades</x:v>
      </x:c>
      <x:c r="B4" s="55" t="n">
        <x:f>COUNTA('Cronograma completo'!$G$2:$G$1000)</x:f>
        <x:v>352</x:v>
      </x:c>
      <x:c r="C4"/>
      <x:c r="D4"/>
      <x:c r="E4"/>
      <x:c r="F4"/>
    </x:row>
    <x:row r="5" ht="22" customHeight="1">
      <x:c r="A5" s="48" t="str">
        <x:v>Pendientes</x:v>
      </x:c>
      <x:c r="B5" s="56" t="n">
        <x:f>COUNTIF('Cronograma completo'!$J:$J,"Pendiente")</x:f>
        <x:v>347</x:v>
      </x:c>
      <x:c r="C5"/>
      <x:c r="D5"/>
      <x:c r="E5"/>
      <x:c r="F5"/>
    </x:row>
    <x:row r="6" ht="22" customHeight="1">
      <x:c r="A6" s="48" t="str">
        <x:v>En curso</x:v>
      </x:c>
      <x:c r="B6" s="56" t="n">
        <x:f>COUNTIF('Cronograma completo'!$J:$J,"En curso")</x:f>
        <x:v>4</x:v>
      </x:c>
      <x:c r="C6"/>
      <x:c r="D6"/>
      <x:c r="E6"/>
      <x:c r="F6"/>
    </x:row>
    <x:row r="7" ht="22" customHeight="1">
      <x:c r="A7" s="48" t="str">
        <x:v>Completadas</x:v>
      </x:c>
      <x:c r="B7" s="56" t="n">
        <x:f>COUNTIF('Cronograma completo'!$J:$J,"Completado")</x:f>
        <x:v>0</x:v>
      </x:c>
      <x:c r="C7"/>
      <x:c r="D7"/>
      <x:c r="E7"/>
      <x:c r="F7"/>
    </x:row>
    <x:row r="8" ht="22" customHeight="1">
      <x:c r="A8" s="48" t="str">
        <x:v>Críticas</x:v>
      </x:c>
      <x:c r="B8" s="56" t="n">
        <x:f>COUNTIF('Cronograma completo'!$K:$K,"Crítica")</x:f>
        <x:v>49</x:v>
      </x:c>
      <x:c r="C8"/>
      <x:c r="D8"/>
      <x:c r="E8"/>
      <x:c r="F8"/>
    </x:row>
    <x:row r="9" ht="22" customHeight="1">
      <x:c r="A9" s="48" t="str">
        <x:v>Próximos 90 días</x:v>
      </x:c>
      <x:c r="B9" s="56" t="n">
        <x:f>COUNTIFS('Cronograma completo'!$B:$B,"&gt;="&amp;MIN('Cronograma completo'!$B$2:$B$1000),'Cronograma completo'!$B:$B,"&lt;="&amp;MIN('Cronograma completo'!$B$2:$B$1000)+90)</x:f>
        <x:v>19</x:v>
      </x:c>
      <x:c r="C9"/>
      <x:c r="D9"/>
      <x:c r="E9"/>
      <x:c r="F9"/>
    </x:row>
    <x:row r="10" ht="22" customHeight="1">
      <x:c r="A10" s="48" t="str">
        <x:v>Primer mes</x:v>
      </x:c>
      <x:c r="B10" s="56" t="str">
        <x:v>Mayo 2026</x:v>
      </x:c>
      <x:c r="C10"/>
      <x:c r="D10"/>
      <x:c r="E10"/>
      <x:c r="F10"/>
    </x:row>
    <x:row r="11" ht="22" customHeight="1">
      <x:c r="A11" s="49" t="str">
        <x:v>Último mes</x:v>
      </x:c>
      <x:c r="B11" s="57" t="str">
        <x:v>Febrero 2029</x:v>
      </x:c>
    </x:row>
    <x:row r="12" ht="22" customHeight="1">
      <x:c r="A12"/>
      <x:c r="B12"/>
      <x:c r="C12"/>
    </x:row>
    <x:row r="13" ht="22" customHeight="1">
      <x:c r="A13" s="60" t="str">
        <x:v>Actividades por etapa</x:v>
      </x:c>
      <x:c r="B13" s="60"/>
      <x:c r="C13" s="60"/>
      <x:c r="D13" s="60"/>
      <x:c r="F13" s="60" t="str">
        <x:v>Estado general</x:v>
      </x:c>
      <x:c r="G13" s="60"/>
      <x:c r="H13" s="60"/>
    </x:row>
    <x:row r="14" ht="22" customHeight="1">
      <x:c r="A14" s="97" t="str">
        <x:v>Etapa</x:v>
      </x:c>
      <x:c r="B14" s="98" t="str">
        <x:v>Actividades</x:v>
      </x:c>
      <x:c r="C14" s="98" t="str">
        <x:v>Pendientes</x:v>
      </x:c>
      <x:c r="D14" s="98" t="str">
        <x:v>Críticas</x:v>
      </x:c>
      <x:c r="F14" s="97" t="str">
        <x:v>Estado</x:v>
      </x:c>
      <x:c r="G14" s="98" t="str">
        <x:v>Cantidad</x:v>
      </x:c>
      <x:c r="H14" s="98" t="str">
        <x:v>%</x:v>
      </x:c>
    </x:row>
    <x:row r="15" ht="22" customHeight="1">
      <x:c r="A15" s="83" t="str">
        <x:v>Obra</x:v>
      </x:c>
      <x:c r="B15" s="84" t="n">
        <x:v>209</x:v>
      </x:c>
      <x:c r="C15" s="84" t="n">
        <x:v>209</x:v>
      </x:c>
      <x:c r="D15" s="85" t="n">
        <x:v>31</x:v>
      </x:c>
      <x:c r="F15" s="83" t="str">
        <x:v>Pendiente</x:v>
      </x:c>
      <x:c r="G15" s="84" t="n">
        <x:v>347</x:v>
      </x:c>
      <x:c r="H15" s="99" t="n">
        <x:v>0.9830028328611898</x:v>
      </x:c>
    </x:row>
    <x:row r="16" ht="22" customHeight="1">
      <x:c r="A16" s="83" t="str">
        <x:v>Comercial</x:v>
      </x:c>
      <x:c r="B16" s="84" t="n">
        <x:v>45</x:v>
      </x:c>
      <x:c r="C16" s="84" t="n">
        <x:v>44</x:v>
      </x:c>
      <x:c r="D16" s="85" t="n">
        <x:v>0</x:v>
      </x:c>
      <x:c r="F16" s="83" t="str">
        <x:v>En curso</x:v>
      </x:c>
      <x:c r="G16" s="84" t="n">
        <x:v>4</x:v>
      </x:c>
      <x:c r="H16" s="99" t="n">
        <x:v>0.0113314447592068</x:v>
      </x:c>
    </x:row>
    <x:row r="17" ht="22" customHeight="1">
      <x:c r="A17" s="83" t="str">
        <x:v>Finanzas</x:v>
      </x:c>
      <x:c r="B17" s="84" t="n">
        <x:v>39</x:v>
      </x:c>
      <x:c r="C17" s="84" t="n">
        <x:v>39</x:v>
      </x:c>
      <x:c r="D17" s="85" t="n">
        <x:v>4</x:v>
      </x:c>
      <x:c r="F17" s="86" t="str">
        <x:v>Sin estado</x:v>
      </x:c>
      <x:c r="G17" s="87" t="n">
        <x:v>2</x:v>
      </x:c>
      <x:c r="H17" s="100" t="n">
        <x:v>0.0056657223796034</x:v>
      </x:c>
    </x:row>
    <x:row r="18" ht="22" customHeight="1">
      <x:c r="A18" s="83" t="str">
        <x:v>Proyecto</x:v>
      </x:c>
      <x:c r="B18" s="84" t="n">
        <x:v>15</x:v>
      </x:c>
      <x:c r="C18" s="84" t="n">
        <x:v>11</x:v>
      </x:c>
      <x:c r="D18" s="85" t="n">
        <x:v>1</x:v>
      </x:c>
    </x:row>
    <x:row r="19" ht="22" customHeight="1">
      <x:c r="A19" s="83" t="str">
        <x:v>Tramitación</x:v>
      </x:c>
      <x:c r="B19" s="84" t="n">
        <x:v>11</x:v>
      </x:c>
      <x:c r="C19" s="84" t="n">
        <x:v>11</x:v>
      </x:c>
      <x:c r="D19" s="85" t="n">
        <x:v>4</x:v>
      </x:c>
    </x:row>
    <x:row r="20" ht="22" customHeight="1">
      <x:c r="A20" s="83" t="str">
        <x:v>Legal / Entrega</x:v>
      </x:c>
      <x:c r="B20" s="84" t="n">
        <x:v>9</x:v>
      </x:c>
      <x:c r="C20" s="84" t="n">
        <x:v>9</x:v>
      </x:c>
      <x:c r="D20" s="85" t="n">
        <x:v>0</x:v>
      </x:c>
    </x:row>
    <x:row r="21" ht="22" customHeight="1">
      <x:c r="A21" s="83" t="str">
        <x:v>Postventa</x:v>
      </x:c>
      <x:c r="B21" s="84" t="n">
        <x:v>9</x:v>
      </x:c>
      <x:c r="C21" s="84" t="n">
        <x:v>9</x:v>
      </x:c>
      <x:c r="D21" s="85" t="n">
        <x:v>0</x:v>
      </x:c>
    </x:row>
    <x:row r="22" ht="22" customHeight="1">
      <x:c r="A22" s="83" t="str">
        <x:v>Entrega</x:v>
      </x:c>
      <x:c r="B22" s="84" t="n">
        <x:v>6</x:v>
      </x:c>
      <x:c r="C22" s="84" t="n">
        <x:v>6</x:v>
      </x:c>
      <x:c r="D22" s="85" t="n">
        <x:v>6</x:v>
      </x:c>
    </x:row>
    <x:row r="23" ht="22" customHeight="1">
      <x:c r="A23" s="83" t="str">
        <x:v>Administración</x:v>
      </x:c>
      <x:c r="B23" s="84" t="n">
        <x:v>5</x:v>
      </x:c>
      <x:c r="C23" s="84" t="n">
        <x:v>5</x:v>
      </x:c>
      <x:c r="D23" s="85" t="n">
        <x:v>0</x:v>
      </x:c>
    </x:row>
    <x:row r="24" ht="22" customHeight="1">
      <x:c r="A24" s="83" t="str">
        <x:v>Compra / Escritura</x:v>
      </x:c>
      <x:c r="B24" s="84" t="n">
        <x:v>3</x:v>
      </x:c>
      <x:c r="C24" s="84" t="n">
        <x:v>3</x:v>
      </x:c>
      <x:c r="D24" s="85" t="n">
        <x:v>3</x:v>
      </x:c>
    </x:row>
    <x:row r="25" ht="22" customHeight="1">
      <x:c r="A25" s="83" t="str">
        <x:v>Preobra</x:v>
      </x:c>
      <x:c r="B25" s="84" t="n">
        <x:v>1</x:v>
      </x:c>
      <x:c r="C25" s="84" t="n">
        <x:v>1</x:v>
      </x:c>
      <x:c r="D25" s="85" t="n">
        <x:v>0</x:v>
      </x:c>
    </x:row>
    <x:row r="26" ht="22" customHeight="1">
      <x:c r="A26" s="86" t="str">
        <x:v>Sin etapa</x:v>
      </x:c>
      <x:c r="B26" s="87" t="n">
        <x:v>1</x:v>
      </x:c>
      <x:c r="C26" s="87" t="n">
        <x:v>0</x:v>
      </x:c>
      <x:c r="D26" s="88" t="n">
        <x:v>0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C17:F17"/>
    <x:mergeCell ref="C18:F18"/>
    <x:mergeCell ref="A1:F1"/>
    <x:mergeCell ref="A11:F11"/>
    <x:mergeCell ref="C12:F12"/>
    <x:mergeCell ref="C13:F13"/>
    <x:mergeCell ref="C14:F14"/>
    <x:mergeCell ref="C15:F15"/>
    <x:mergeCell ref="C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8" hidden="0" customWidth="1"/>
    <x:col min="2" max="2" width="12" hidden="0" customWidth="1"/>
    <x:col min="3" max="3" width="12" hidden="0" customWidth="1"/>
    <x:col min="4" max="4" width="10" hidden="0" customWidth="1"/>
    <x:col min="5" max="5" width="20" hidden="0" customWidth="1"/>
    <x:col min="6" max="6" width="20" hidden="0" customWidth="1"/>
    <x:col min="7" max="7" width="58" hidden="0" customWidth="1"/>
    <x:col min="8" max="8" width="20" hidden="0" customWidth="1"/>
    <x:col min="9" max="9" width="24" hidden="0" customWidth="1"/>
    <x:col min="10" max="10" width="14" hidden="0" customWidth="1"/>
    <x:col min="11" max="11" width="12" hidden="0" customWidth="1"/>
    <x:col min="12" max="12" width="28" hidden="0" customWidth="1"/>
    <x:col min="13" max="13" width="40" hidden="0" customWidth="1"/>
    <x:col min="14" max="27" width="8.630000114440918" customWidth="1"/>
  </x:cols>
  <x:sheetData>
    <x:row r="1" ht="24" customHeight="1">
      <x:c r="A1" s="97" t="s">
        <x:v>0</x:v>
      </x:c>
      <x:c r="B1" s="98" t="s">
        <x:v>1</x:v>
      </x:c>
      <x:c r="C1" s="98" t="s">
        <x:v>2</x:v>
      </x:c>
      <x:c r="D1" s="98" t="s">
        <x:v>3</x:v>
      </x:c>
      <x:c r="E1" s="98" t="s">
        <x:v>4</x:v>
      </x:c>
      <x:c r="F1" s="98" t="s">
        <x:v>5</x:v>
      </x:c>
      <x:c r="G1" s="98" t="s">
        <x:v>6</x:v>
      </x:c>
      <x:c r="H1" s="98" t="s">
        <x:v>7</x:v>
      </x:c>
      <x:c r="I1" s="141" t="s">
        <x:v>8</x:v>
      </x:c>
      <x:c r="J1" s="98" t="s">
        <x:v>9</x:v>
      </x:c>
      <x:c r="K1" s="98" t="s">
        <x:v>10</x:v>
      </x:c>
      <x:c r="L1" s="98" t="s">
        <x:v>11</x:v>
      </x:c>
      <x:c r="M1" s="98" t="s">
        <x:v>12</x:v>
      </x:c>
    </x:row>
    <x:row r="2" ht="36" customHeight="1">
      <x:c r="A2" s="83" t="n">
        <x:v>1</x:v>
      </x:c>
      <x:c r="B2" s="101">
        <x:v>46143.0</x:v>
      </x:c>
      <x:c r="C2" s="84" t="s">
        <x:v>13</x:v>
      </x:c>
      <x:c r="D2" s="84">
        <x:v>2026.0</x:v>
      </x:c>
      <x:c r="E2" s="84" t="s">
        <x:v>14</x:v>
      </x:c>
      <x:c r="F2" s="84" t="s">
        <x:v>15</x:v>
      </x:c>
      <x:c r="G2" s="84" t="s">
        <x:v>16</x:v>
      </x:c>
      <x:c r="H2" s="84" t="s">
        <x:v>17</x:v>
      </x:c>
      <x:c r="I2" s="84" t="s">
        <x:v>18</x:v>
      </x:c>
      <x:c r="J2" s="84" t="s">
        <x:v>19</x:v>
      </x:c>
      <x:c r="K2" s="131" t="s">
        <x:v>20</x:v>
      </x:c>
      <x:c r="L2" s="84" t="s">
        <x:v>21</x:v>
      </x:c>
      <x:c r="M2" s="85" t="s">
        <x:v>22</x:v>
      </x:c>
    </x:row>
    <x:row r="3" ht="36" customHeight="1">
      <x:c r="A3" s="83" t="n">
        <x:v>2</x:v>
      </x:c>
      <x:c r="B3" s="101">
        <x:v>46143.0</x:v>
      </x:c>
      <x:c r="C3" s="84" t="s">
        <x:v>13</x:v>
      </x:c>
      <x:c r="D3" s="84">
        <x:v>2026.0</x:v>
      </x:c>
      <x:c r="E3" s="84" t="s">
        <x:v>23</x:v>
      </x:c>
      <x:c r="F3" s="84" t="s">
        <x:v>24</x:v>
      </x:c>
      <x:c r="G3" s="84" t="s">
        <x:v>25</x:v>
      </x:c>
      <x:c r="H3" s="84" t="s">
        <x:v>17</x:v>
      </x:c>
      <x:c r="I3" s="84"/>
      <x:c r="J3" s="84" t="s">
        <x:v>26</x:v>
      </x:c>
      <x:c r="K3" s="84" t="s">
        <x:v>27</x:v>
      </x:c>
      <x:c r="L3" s="84" t="s">
        <x:v>21</x:v>
      </x:c>
      <x:c r="M3" s="85" t="s">
        <x:v>28</x:v>
      </x:c>
    </x:row>
    <x:row r="4" ht="36" customHeight="1">
      <x:c r="A4" s="83" t="n">
        <x:v>3</x:v>
      </x:c>
      <x:c r="B4" s="101">
        <x:v>46143.0</x:v>
      </x:c>
      <x:c r="C4" s="84" t="s">
        <x:v>13</x:v>
      </x:c>
      <x:c r="D4" s="84">
        <x:v>2026.0</x:v>
      </x:c>
      <x:c r="E4" s="84" t="s">
        <x:v>23</x:v>
      </x:c>
      <x:c r="F4" s="84" t="s">
        <x:v>24</x:v>
      </x:c>
      <x:c r="G4" s="84" t="s">
        <x:v>29</x:v>
      </x:c>
      <x:c r="H4" s="84" t="s">
        <x:v>17</x:v>
      </x:c>
      <x:c r="I4" s="84"/>
      <x:c r="J4" s="84" t="s">
        <x:v>26</x:v>
      </x:c>
      <x:c r="K4" s="84" t="s">
        <x:v>27</x:v>
      </x:c>
      <x:c r="L4" s="84" t="s">
        <x:v>21</x:v>
      </x:c>
      <x:c r="M4" s="85" t="s">
        <x:v>28</x:v>
      </x:c>
    </x:row>
    <x:row r="5" ht="36" customHeight="1">
      <x:c r="A5" s="83" t="n">
        <x:v>4</x:v>
      </x:c>
      <x:c r="B5" s="101">
        <x:v>46143.0</x:v>
      </x:c>
      <x:c r="C5" s="84" t="s">
        <x:v>13</x:v>
      </x:c>
      <x:c r="D5" s="84">
        <x:v>2026.0</x:v>
      </x:c>
      <x:c r="E5" s="84" t="s">
        <x:v>23</x:v>
      </x:c>
      <x:c r="F5" s="84" t="s">
        <x:v>24</x:v>
      </x:c>
      <x:c r="G5" s="84" t="s">
        <x:v>30</x:v>
      </x:c>
      <x:c r="H5" s="84" t="s">
        <x:v>17</x:v>
      </x:c>
      <x:c r="I5" s="84"/>
      <x:c r="J5" s="84" t="s">
        <x:v>26</x:v>
      </x:c>
      <x:c r="K5" s="84" t="s">
        <x:v>27</x:v>
      </x:c>
      <x:c r="L5" s="84" t="s">
        <x:v>21</x:v>
      </x:c>
      <x:c r="M5" s="85" t="s">
        <x:v>28</x:v>
      </x:c>
    </x:row>
    <x:row r="6" ht="36" customHeight="1">
      <x:c r="A6" s="83" t="n">
        <x:v>5</x:v>
      </x:c>
      <x:c r="B6" s="101">
        <x:v>46168.0</x:v>
      </x:c>
      <x:c r="C6" s="84" t="s">
        <x:v>13</x:v>
      </x:c>
      <x:c r="D6" s="84">
        <x:v>2026.0</x:v>
      </x:c>
      <x:c r="E6" s="84" t="s">
        <x:v>31</x:v>
      </x:c>
      <x:c r="F6" s="84" t="s">
        <x:v>32</x:v>
      </x:c>
      <x:c r="G6" s="84" t="s">
        <x:v>33</x:v>
      </x:c>
      <x:c r="H6" s="84" t="s">
        <x:v>17</x:v>
      </x:c>
      <x:c r="I6" s="84" t="s">
        <x:v>34</x:v>
      </x:c>
      <x:c r="J6" s="84" t="s">
        <x:v>19</x:v>
      </x:c>
      <x:c r="K6" s="84" t="s">
        <x:v>27</x:v>
      </x:c>
      <x:c r="L6" s="84" t="s">
        <x:v>35</x:v>
      </x:c>
      <x:c r="M6" s="85"/>
    </x:row>
    <x:row r="7" ht="36" customHeight="1">
      <x:c r="A7" s="83" t="n">
        <x:v>6</x:v>
      </x:c>
      <x:c r="B7" s="101">
        <x:v>46174.0</x:v>
      </x:c>
      <x:c r="C7" s="84" t="s">
        <x:v>36</x:v>
      </x:c>
      <x:c r="D7" s="84">
        <x:v>2026.0</x:v>
      </x:c>
      <x:c r="E7" s="84" t="s">
        <x:v>23</x:v>
      </x:c>
      <x:c r="F7" s="84" t="s">
        <x:v>37</x:v>
      </x:c>
      <x:c r="G7" s="84" t="s">
        <x:v>38</x:v>
      </x:c>
      <x:c r="H7" s="84" t="s">
        <x:v>17</x:v>
      </x:c>
      <x:c r="I7" s="84"/>
      <x:c r="J7" s="84" t="s">
        <x:v>19</x:v>
      </x:c>
      <x:c r="K7" s="84" t="s">
        <x:v>27</x:v>
      </x:c>
      <x:c r="L7" s="84" t="s">
        <x:v>39</x:v>
      </x:c>
      <x:c r="M7" s="85"/>
    </x:row>
    <x:row r="8" ht="36" customHeight="1">
      <x:c r="A8" s="83" t="n">
        <x:v>7</x:v>
      </x:c>
      <x:c r="B8" s="101">
        <x:v>46174.0</x:v>
      </x:c>
      <x:c r="C8" s="84" t="s">
        <x:v>36</x:v>
      </x:c>
      <x:c r="D8" s="84">
        <x:v>2026.0</x:v>
      </x:c>
      <x:c r="E8" s="84" t="s">
        <x:v>40</x:v>
      </x:c>
      <x:c r="F8" s="84" t="s">
        <x:v>40</x:v>
      </x:c>
      <x:c r="G8" s="84" t="s">
        <x:v>41</x:v>
      </x:c>
      <x:c r="H8" s="84" t="s">
        <x:v>17</x:v>
      </x:c>
      <x:c r="I8" s="84"/>
      <x:c r="J8" s="84" t="s">
        <x:v>19</x:v>
      </x:c>
      <x:c r="K8" s="84" t="s">
        <x:v>27</x:v>
      </x:c>
      <x:c r="L8" s="84" t="s">
        <x:v>42</x:v>
      </x:c>
      <x:c r="M8" s="85"/>
    </x:row>
    <x:row r="9" ht="36" customHeight="1">
      <x:c r="A9" s="83" t="n">
        <x:v>8</x:v>
      </x:c>
      <x:c r="B9" s="101">
        <x:v>46199.0</x:v>
      </x:c>
      <x:c r="C9" s="84" t="s">
        <x:v>36</x:v>
      </x:c>
      <x:c r="D9" s="84">
        <x:v>2026.0</x:v>
      </x:c>
      <x:c r="E9" s="84" t="s">
        <x:v>23</x:v>
      </x:c>
      <x:c r="F9" s="84" t="s">
        <x:v>43</x:v>
      </x:c>
      <x:c r="G9" s="84" t="s">
        <x:v>44</x:v>
      </x:c>
      <x:c r="H9" s="84" t="s">
        <x:v>17</x:v>
      </x:c>
      <x:c r="I9" s="84" t="s">
        <x:v>45</x:v>
      </x:c>
      <x:c r="J9" s="84" t="s">
        <x:v>26</x:v>
      </x:c>
      <x:c r="K9" s="84" t="s">
        <x:v>27</x:v>
      </x:c>
      <x:c r="L9" s="84" t="s">
        <x:v>21</x:v>
      </x:c>
      <x:c r="M9" s="85" t="s">
        <x:v>46</x:v>
      </x:c>
    </x:row>
    <x:row r="10" ht="36" customHeight="1">
      <x:c r="A10" s="83" t="n">
        <x:v>9</x:v>
      </x:c>
      <x:c r="B10" s="101">
        <x:v>46199.0</x:v>
      </x:c>
      <x:c r="C10" s="84" t="s">
        <x:v>47</x:v>
      </x:c>
      <x:c r="D10" s="84">
        <x:v>2026.0</x:v>
      </x:c>
      <x:c r="E10" s="84" t="s">
        <x:v>48</x:v>
      </x:c>
      <x:c r="F10" s="84" t="s">
        <x:v>49</x:v>
      </x:c>
      <x:c r="G10" s="84" t="s">
        <x:v>50</x:v>
      </x:c>
      <x:c r="H10" s="84" t="s">
        <x:v>17</x:v>
      </x:c>
      <x:c r="I10" s="84"/>
      <x:c r="J10" s="84"/>
      <x:c r="K10" s="84"/>
      <x:c r="L10" s="84"/>
      <x:c r="M10" s="85"/>
    </x:row>
    <x:row r="11" ht="36" customHeight="1">
      <x:c r="A11" s="83" t="n">
        <x:v>10</x:v>
      </x:c>
      <x:c r="B11" s="101">
        <x:v>46199.0</x:v>
      </x:c>
      <x:c r="C11" s="84" t="s">
        <x:v>36</x:v>
      </x:c>
      <x:c r="D11" s="84">
        <x:v>2026.0</x:v>
      </x:c>
      <x:c r="E11" s="84" t="s">
        <x:v>23</x:v>
      </x:c>
      <x:c r="F11" s="84" t="s">
        <x:v>40</x:v>
      </x:c>
      <x:c r="G11" s="84" t="s">
        <x:v>51</x:v>
      </x:c>
      <x:c r="H11" s="84" t="s">
        <x:v>17</x:v>
      </x:c>
      <x:c r="I11" s="84"/>
      <x:c r="J11" s="84" t="s">
        <x:v>19</x:v>
      </x:c>
      <x:c r="K11" s="84" t="s">
        <x:v>27</x:v>
      </x:c>
      <x:c r="L11" s="84" t="s">
        <x:v>52</x:v>
      </x:c>
      <x:c r="M11" s="85" t="s">
        <x:v>53</x:v>
      </x:c>
    </x:row>
    <x:row r="12" ht="36" customHeight="1">
      <x:c r="A12" s="83" t="n">
        <x:v>11</x:v>
      </x:c>
      <x:c r="B12" s="101">
        <x:v>46199.0</x:v>
      </x:c>
      <x:c r="C12" s="84" t="s">
        <x:v>36</x:v>
      </x:c>
      <x:c r="D12" s="84">
        <x:v>2026.0</x:v>
      </x:c>
      <x:c r="E12" s="84" t="s">
        <x:v>14</x:v>
      </x:c>
      <x:c r="F12" s="84" t="s">
        <x:v>15</x:v>
      </x:c>
      <x:c r="G12" s="84" t="s">
        <x:v>54</x:v>
      </x:c>
      <x:c r="H12" s="84" t="s">
        <x:v>17</x:v>
      </x:c>
      <x:c r="I12" s="84" t="s">
        <x:v>55</x:v>
      </x:c>
      <x:c r="J12" s="84" t="s">
        <x:v>19</x:v>
      </x:c>
      <x:c r="K12" s="131" t="s">
        <x:v>20</x:v>
      </x:c>
      <x:c r="L12" s="84" t="s">
        <x:v>21</x:v>
      </x:c>
      <x:c r="M12" s="85" t="s">
        <x:v>56</x:v>
      </x:c>
    </x:row>
    <x:row r="13" ht="36" customHeight="1">
      <x:c r="A13" s="83" t="n">
        <x:v>12</x:v>
      </x:c>
      <x:c r="B13" s="101">
        <x:v>46199.0</x:v>
      </x:c>
      <x:c r="C13" s="84" t="s">
        <x:v>36</x:v>
      </x:c>
      <x:c r="D13" s="84">
        <x:v>2026.0</x:v>
      </x:c>
      <x:c r="E13" s="84" t="s">
        <x:v>57</x:v>
      </x:c>
      <x:c r="F13" s="84" t="s">
        <x:v>58</x:v>
      </x:c>
      <x:c r="G13" s="84" t="s">
        <x:v>59</x:v>
      </x:c>
      <x:c r="H13" s="84" t="s">
        <x:v>60</x:v>
      </x:c>
      <x:c r="I13" s="84"/>
      <x:c r="J13" s="84" t="s">
        <x:v>19</x:v>
      </x:c>
      <x:c r="K13" s="84" t="s">
        <x:v>27</x:v>
      </x:c>
      <x:c r="L13" s="84" t="s">
        <x:v>61</x:v>
      </x:c>
      <x:c r="M13" s="85"/>
    </x:row>
    <x:row r="14" ht="36" customHeight="1">
      <x:c r="A14" s="83" t="n">
        <x:v>13</x:v>
      </x:c>
      <x:c r="B14" s="101">
        <x:v>46204.0</x:v>
      </x:c>
      <x:c r="C14" s="84" t="s">
        <x:v>47</x:v>
      </x:c>
      <x:c r="D14" s="84">
        <x:v>2026.0</x:v>
      </x:c>
      <x:c r="E14" s="84" t="s">
        <x:v>14</x:v>
      </x:c>
      <x:c r="F14" s="84" t="s">
        <x:v>15</x:v>
      </x:c>
      <x:c r="G14" s="84" t="s">
        <x:v>62</x:v>
      </x:c>
      <x:c r="H14" s="84" t="s">
        <x:v>17</x:v>
      </x:c>
      <x:c r="I14" s="84" t="s">
        <x:v>55</x:v>
      </x:c>
      <x:c r="J14" s="84" t="s">
        <x:v>19</x:v>
      </x:c>
      <x:c r="K14" s="131" t="s">
        <x:v>20</x:v>
      </x:c>
      <x:c r="L14" s="84" t="s">
        <x:v>63</x:v>
      </x:c>
      <x:c r="M14" s="85" t="s">
        <x:v>64</x:v>
      </x:c>
    </x:row>
    <x:row r="15" ht="36" customHeight="1">
      <x:c r="A15" s="83" t="n">
        <x:v>14</x:v>
      </x:c>
      <x:c r="B15" s="101">
        <x:v>46204.0</x:v>
      </x:c>
      <x:c r="C15" s="84" t="s">
        <x:v>47</x:v>
      </x:c>
      <x:c r="D15" s="84">
        <x:v>2026.0</x:v>
      </x:c>
      <x:c r="E15" s="84" t="s">
        <x:v>23</x:v>
      </x:c>
      <x:c r="F15" s="84" t="s">
        <x:v>43</x:v>
      </x:c>
      <x:c r="G15" s="84" t="s">
        <x:v>65</x:v>
      </x:c>
      <x:c r="H15" s="84" t="s">
        <x:v>17</x:v>
      </x:c>
      <x:c r="I15" s="84" t="s">
        <x:v>66</x:v>
      </x:c>
      <x:c r="J15" s="84" t="s">
        <x:v>19</x:v>
      </x:c>
      <x:c r="K15" s="84" t="s">
        <x:v>27</x:v>
      </x:c>
      <x:c r="L15" s="84" t="s">
        <x:v>67</x:v>
      </x:c>
      <x:c r="M15" s="85"/>
    </x:row>
    <x:row r="16" ht="36" customHeight="1">
      <x:c r="A16" s="83" t="n">
        <x:v>15</x:v>
      </x:c>
      <x:c r="B16" s="101">
        <x:v>46204.0</x:v>
      </x:c>
      <x:c r="C16" s="84" t="s">
        <x:v>47</x:v>
      </x:c>
      <x:c r="D16" s="84">
        <x:v>2026.0</x:v>
      </x:c>
      <x:c r="E16" s="84" t="s">
        <x:v>48</x:v>
      </x:c>
      <x:c r="F16" s="84" t="s">
        <x:v>68</x:v>
      </x:c>
      <x:c r="G16" s="84" t="s">
        <x:v>69</x:v>
      </x:c>
      <x:c r="H16" s="84" t="s">
        <x:v>70</x:v>
      </x:c>
      <x:c r="I16" s="84"/>
      <x:c r="J16" s="84" t="s">
        <x:v>19</x:v>
      </x:c>
      <x:c r="K16" s="84" t="s">
        <x:v>27</x:v>
      </x:c>
      <x:c r="L16" s="84" t="s">
        <x:v>71</x:v>
      </x:c>
      <x:c r="M16" s="85"/>
    </x:row>
    <x:row r="17" ht="36" customHeight="1">
      <x:c r="A17" s="83" t="n">
        <x:v>16</x:v>
      </x:c>
      <x:c r="B17" s="101">
        <x:v>46204.0</x:v>
      </x:c>
      <x:c r="C17" s="84" t="s">
        <x:v>47</x:v>
      </x:c>
      <x:c r="D17" s="84">
        <x:v>2026.0</x:v>
      </x:c>
      <x:c r="E17" s="84" t="s">
        <x:v>48</x:v>
      </x:c>
      <x:c r="F17" s="84" t="s">
        <x:v>68</x:v>
      </x:c>
      <x:c r="G17" s="84" t="s">
        <x:v>72</x:v>
      </x:c>
      <x:c r="H17" s="84" t="s">
        <x:v>70</x:v>
      </x:c>
      <x:c r="I17" s="84"/>
      <x:c r="J17" s="84" t="s">
        <x:v>19</x:v>
      </x:c>
      <x:c r="K17" s="84" t="s">
        <x:v>27</x:v>
      </x:c>
      <x:c r="L17" s="84" t="s">
        <x:v>71</x:v>
      </x:c>
      <x:c r="M17" s="85"/>
    </x:row>
    <x:row r="18" ht="36" customHeight="1">
      <x:c r="A18" s="83" t="n">
        <x:v>17</x:v>
      </x:c>
      <x:c r="B18" s="101">
        <x:v>46229.0</x:v>
      </x:c>
      <x:c r="C18" s="84" t="s">
        <x:v>47</x:v>
      </x:c>
      <x:c r="D18" s="84">
        <x:v>2026.0</x:v>
      </x:c>
      <x:c r="E18" s="84" t="s">
        <x:v>48</x:v>
      </x:c>
      <x:c r="F18" s="84" t="s">
        <x:v>68</x:v>
      </x:c>
      <x:c r="G18" s="84" t="s">
        <x:v>73</x:v>
      </x:c>
      <x:c r="H18" s="84" t="s">
        <x:v>17</x:v>
      </x:c>
      <x:c r="I18" s="84"/>
      <x:c r="J18" s="84" t="s">
        <x:v>19</x:v>
      </x:c>
      <x:c r="K18" s="84" t="s">
        <x:v>27</x:v>
      </x:c>
      <x:c r="L18" s="84" t="s">
        <x:v>52</x:v>
      </x:c>
      <x:c r="M18" s="85" t="s">
        <x:v>74</x:v>
      </x:c>
    </x:row>
    <x:row r="19" ht="36" customHeight="1">
      <x:c r="A19" s="83" t="n">
        <x:v>18</x:v>
      </x:c>
      <x:c r="B19" s="101">
        <x:v>46229.0</x:v>
      </x:c>
      <x:c r="C19" s="84" t="s">
        <x:v>47</x:v>
      </x:c>
      <x:c r="D19" s="84">
        <x:v>2026.0</x:v>
      </x:c>
      <x:c r="E19" s="84" t="s">
        <x:v>48</x:v>
      </x:c>
      <x:c r="F19" s="84" t="s">
        <x:v>68</x:v>
      </x:c>
      <x:c r="G19" s="84" t="s">
        <x:v>75</x:v>
      </x:c>
      <x:c r="H19" s="84" t="s">
        <x:v>17</x:v>
      </x:c>
      <x:c r="I19" s="84"/>
      <x:c r="J19" s="84" t="s">
        <x:v>19</x:v>
      </x:c>
      <x:c r="K19" s="84" t="s">
        <x:v>76</x:v>
      </x:c>
      <x:c r="L19" s="84" t="s">
        <x:v>77</x:v>
      </x:c>
      <x:c r="M19" s="85"/>
    </x:row>
    <x:row r="20" ht="36" customHeight="1">
      <x:c r="A20" s="83" t="n">
        <x:v>19</x:v>
      </x:c>
      <x:c r="B20" s="101">
        <x:v>46229.0</x:v>
      </x:c>
      <x:c r="C20" s="84" t="s">
        <x:v>47</x:v>
      </x:c>
      <x:c r="D20" s="84">
        <x:v>2026.0</x:v>
      </x:c>
      <x:c r="E20" s="84" t="s">
        <x:v>23</x:v>
      </x:c>
      <x:c r="F20" s="84" t="s">
        <x:v>43</x:v>
      </x:c>
      <x:c r="G20" s="84" t="s">
        <x:v>78</x:v>
      </x:c>
      <x:c r="H20" s="84" t="s">
        <x:v>79</x:v>
      </x:c>
      <x:c r="I20" s="84"/>
      <x:c r="J20" s="84" t="s">
        <x:v>19</x:v>
      </x:c>
      <x:c r="K20" s="131" t="s">
        <x:v>20</x:v>
      </x:c>
      <x:c r="L20" s="84" t="s">
        <x:v>80</x:v>
      </x:c>
      <x:c r="M20" s="85"/>
    </x:row>
    <x:row r="21" ht="36" customHeight="1">
      <x:c r="A21" s="83" t="n">
        <x:v>20</x:v>
      </x:c>
      <x:c r="B21" s="101">
        <x:v>46235.0</x:v>
      </x:c>
      <x:c r="C21" s="84" t="s">
        <x:v>81</x:v>
      </x:c>
      <x:c r="D21" s="84">
        <x:v>2026.0</x:v>
      </x:c>
      <x:c r="E21" s="84" t="s">
        <x:v>23</x:v>
      </x:c>
      <x:c r="F21" s="84" t="s">
        <x:v>82</x:v>
      </x:c>
      <x:c r="G21" s="84" t="s">
        <x:v>83</x:v>
      </x:c>
      <x:c r="H21" s="84" t="s">
        <x:v>84</x:v>
      </x:c>
      <x:c r="I21" s="84"/>
      <x:c r="J21" s="84" t="s">
        <x:v>19</x:v>
      </x:c>
      <x:c r="K21" s="84" t="s">
        <x:v>27</x:v>
      </x:c>
      <x:c r="L21" s="84" t="s">
        <x:v>85</x:v>
      </x:c>
      <x:c r="M21" s="85"/>
    </x:row>
    <x:row r="22" ht="36" customHeight="1">
      <x:c r="A22" s="83" t="n">
        <x:v>21</x:v>
      </x:c>
      <x:c r="B22" s="101">
        <x:v>46235.0</x:v>
      </x:c>
      <x:c r="C22" s="84" t="s">
        <x:v>81</x:v>
      </x:c>
      <x:c r="D22" s="84">
        <x:v>2026.0</x:v>
      </x:c>
      <x:c r="E22" s="84" t="s">
        <x:v>23</x:v>
      </x:c>
      <x:c r="F22" s="84" t="s">
        <x:v>82</x:v>
      </x:c>
      <x:c r="G22" s="84" t="s">
        <x:v>86</x:v>
      </x:c>
      <x:c r="H22" s="84" t="s">
        <x:v>84</x:v>
      </x:c>
      <x:c r="I22" s="84"/>
      <x:c r="J22" s="84" t="s">
        <x:v>19</x:v>
      </x:c>
      <x:c r="K22" s="84" t="s">
        <x:v>27</x:v>
      </x:c>
      <x:c r="L22" s="84" t="s">
        <x:v>85</x:v>
      </x:c>
      <x:c r="M22" s="85"/>
    </x:row>
    <x:row r="23" ht="36" customHeight="1">
      <x:c r="A23" s="83" t="n">
        <x:v>22</x:v>
      </x:c>
      <x:c r="B23" s="101">
        <x:v>46235.0</x:v>
      </x:c>
      <x:c r="C23" s="84" t="s">
        <x:v>81</x:v>
      </x:c>
      <x:c r="D23" s="84">
        <x:v>2026.0</x:v>
      </x:c>
      <x:c r="E23" s="84" t="s">
        <x:v>23</x:v>
      </x:c>
      <x:c r="F23" s="84" t="s">
        <x:v>82</x:v>
      </x:c>
      <x:c r="G23" s="84" t="s">
        <x:v>87</x:v>
      </x:c>
      <x:c r="H23" s="84" t="s">
        <x:v>84</x:v>
      </x:c>
      <x:c r="I23" s="84"/>
      <x:c r="J23" s="84" t="s">
        <x:v>19</x:v>
      </x:c>
      <x:c r="K23" s="84" t="s">
        <x:v>27</x:v>
      </x:c>
      <x:c r="L23" s="84" t="s">
        <x:v>85</x:v>
      </x:c>
      <x:c r="M23" s="85"/>
    </x:row>
    <x:row r="24" ht="36" customHeight="1">
      <x:c r="A24" s="83" t="n">
        <x:v>23</x:v>
      </x:c>
      <x:c r="B24" s="101">
        <x:v>46235.0</x:v>
      </x:c>
      <x:c r="C24" s="84" t="s">
        <x:v>81</x:v>
      </x:c>
      <x:c r="D24" s="84">
        <x:v>2026.0</x:v>
      </x:c>
      <x:c r="E24" s="84" t="s">
        <x:v>23</x:v>
      </x:c>
      <x:c r="F24" s="84" t="s">
        <x:v>82</x:v>
      </x:c>
      <x:c r="G24" s="84" t="s">
        <x:v>88</x:v>
      </x:c>
      <x:c r="H24" s="84" t="s">
        <x:v>84</x:v>
      </x:c>
      <x:c r="I24" s="84"/>
      <x:c r="J24" s="84" t="s">
        <x:v>19</x:v>
      </x:c>
      <x:c r="K24" s="84" t="s">
        <x:v>27</x:v>
      </x:c>
      <x:c r="L24" s="84" t="s">
        <x:v>85</x:v>
      </x:c>
      <x:c r="M24" s="85"/>
    </x:row>
    <x:row r="25" ht="36" customHeight="1">
      <x:c r="A25" s="83" t="n">
        <x:v>24</x:v>
      </x:c>
      <x:c r="B25" s="101">
        <x:v>46235.0</x:v>
      </x:c>
      <x:c r="C25" s="84" t="s">
        <x:v>81</x:v>
      </x:c>
      <x:c r="D25" s="84">
        <x:v>2026.0</x:v>
      </x:c>
      <x:c r="E25" s="84" t="s">
        <x:v>23</x:v>
      </x:c>
      <x:c r="F25" s="84" t="s">
        <x:v>82</x:v>
      </x:c>
      <x:c r="G25" s="84" t="s">
        <x:v>89</x:v>
      </x:c>
      <x:c r="H25" s="84" t="s">
        <x:v>84</x:v>
      </x:c>
      <x:c r="I25" s="84"/>
      <x:c r="J25" s="84" t="s">
        <x:v>19</x:v>
      </x:c>
      <x:c r="K25" s="84" t="s">
        <x:v>27</x:v>
      </x:c>
      <x:c r="L25" s="84" t="s">
        <x:v>85</x:v>
      </x:c>
      <x:c r="M25" s="85"/>
    </x:row>
    <x:row r="26" ht="36" customHeight="1">
      <x:c r="A26" s="83" t="n">
        <x:v>25</x:v>
      </x:c>
      <x:c r="B26" s="101">
        <x:v>46235.0</x:v>
      </x:c>
      <x:c r="C26" s="84" t="s">
        <x:v>81</x:v>
      </x:c>
      <x:c r="D26" s="84">
        <x:v>2026.0</x:v>
      </x:c>
      <x:c r="E26" s="84" t="s">
        <x:v>23</x:v>
      </x:c>
      <x:c r="F26" s="84" t="s">
        <x:v>82</x:v>
      </x:c>
      <x:c r="G26" s="84" t="s">
        <x:v>90</x:v>
      </x:c>
      <x:c r="H26" s="84" t="s">
        <x:v>84</x:v>
      </x:c>
      <x:c r="I26" s="84"/>
      <x:c r="J26" s="84" t="s">
        <x:v>19</x:v>
      </x:c>
      <x:c r="K26" s="84" t="s">
        <x:v>27</x:v>
      </x:c>
      <x:c r="L26" s="84" t="s">
        <x:v>85</x:v>
      </x:c>
      <x:c r="M26" s="85"/>
    </x:row>
    <x:row r="27" ht="36" customHeight="1">
      <x:c r="A27" s="83" t="n">
        <x:v>26</x:v>
      </x:c>
      <x:c r="B27" s="101">
        <x:v>46235.0</x:v>
      </x:c>
      <x:c r="C27" s="84" t="s">
        <x:v>81</x:v>
      </x:c>
      <x:c r="D27" s="84">
        <x:v>2026.0</x:v>
      </x:c>
      <x:c r="E27" s="84" t="s">
        <x:v>91</x:v>
      </x:c>
      <x:c r="F27" s="84" t="s">
        <x:v>92</x:v>
      </x:c>
      <x:c r="G27" s="84" t="s">
        <x:v>93</x:v>
      </x:c>
      <x:c r="H27" s="84" t="s">
        <x:v>94</x:v>
      </x:c>
      <x:c r="I27" s="84"/>
      <x:c r="J27" s="84" t="s">
        <x:v>19</x:v>
      </x:c>
      <x:c r="K27" s="131" t="s">
        <x:v>20</x:v>
      </x:c>
      <x:c r="L27" s="84" t="s">
        <x:v>85</x:v>
      </x:c>
      <x:c r="M27" s="85"/>
    </x:row>
    <x:row r="28" ht="36" customHeight="1">
      <x:c r="A28" s="83" t="n">
        <x:v>27</x:v>
      </x:c>
      <x:c r="B28" s="101">
        <x:v>46235.0</x:v>
      </x:c>
      <x:c r="C28" s="84" t="s">
        <x:v>81</x:v>
      </x:c>
      <x:c r="D28" s="84">
        <x:v>2026.0</x:v>
      </x:c>
      <x:c r="E28" s="84" t="s">
        <x:v>91</x:v>
      </x:c>
      <x:c r="F28" s="84" t="s">
        <x:v>92</x:v>
      </x:c>
      <x:c r="G28" s="84" t="s">
        <x:v>95</x:v>
      </x:c>
      <x:c r="H28" s="84" t="s">
        <x:v>94</x:v>
      </x:c>
      <x:c r="I28" s="84"/>
      <x:c r="J28" s="84" t="s">
        <x:v>19</x:v>
      </x:c>
      <x:c r="K28" s="131" t="s">
        <x:v>20</x:v>
      </x:c>
      <x:c r="L28" s="84" t="s">
        <x:v>85</x:v>
      </x:c>
      <x:c r="M28" s="85"/>
    </x:row>
    <x:row r="29" ht="36" customHeight="1">
      <x:c r="A29" s="83" t="n">
        <x:v>28</x:v>
      </x:c>
      <x:c r="B29" s="101">
        <x:v>46235.0</x:v>
      </x:c>
      <x:c r="C29" s="84" t="s">
        <x:v>81</x:v>
      </x:c>
      <x:c r="D29" s="84">
        <x:v>2026.0</x:v>
      </x:c>
      <x:c r="E29" s="84" t="s">
        <x:v>48</x:v>
      </x:c>
      <x:c r="F29" s="84" t="s">
        <x:v>68</x:v>
      </x:c>
      <x:c r="G29" s="84" t="s">
        <x:v>96</x:v>
      </x:c>
      <x:c r="H29" s="84" t="s">
        <x:v>97</x:v>
      </x:c>
      <x:c r="I29" s="84"/>
      <x:c r="J29" s="84" t="s">
        <x:v>19</x:v>
      </x:c>
      <x:c r="K29" s="84" t="s">
        <x:v>27</x:v>
      </x:c>
      <x:c r="L29" s="84" t="s">
        <x:v>98</x:v>
      </x:c>
      <x:c r="M29" s="85"/>
    </x:row>
    <x:row r="30" ht="36" customHeight="1">
      <x:c r="A30" s="83" t="n">
        <x:v>29</x:v>
      </x:c>
      <x:c r="B30" s="101">
        <x:v>46235.0</x:v>
      </x:c>
      <x:c r="C30" s="84" t="s">
        <x:v>81</x:v>
      </x:c>
      <x:c r="D30" s="84">
        <x:v>2026.0</x:v>
      </x:c>
      <x:c r="E30" s="84" t="s">
        <x:v>48</x:v>
      </x:c>
      <x:c r="F30" s="84" t="s">
        <x:v>68</x:v>
      </x:c>
      <x:c r="G30" s="84" t="s">
        <x:v>99</x:v>
      </x:c>
      <x:c r="H30" s="84" t="s">
        <x:v>97</x:v>
      </x:c>
      <x:c r="I30" s="84"/>
      <x:c r="J30" s="84" t="s">
        <x:v>19</x:v>
      </x:c>
      <x:c r="K30" s="84" t="s">
        <x:v>27</x:v>
      </x:c>
      <x:c r="L30" s="84" t="s">
        <x:v>98</x:v>
      </x:c>
      <x:c r="M30" s="85"/>
    </x:row>
    <x:row r="31" ht="36" customHeight="1">
      <x:c r="A31" s="83" t="n">
        <x:v>30</x:v>
      </x:c>
      <x:c r="B31" s="101">
        <x:v>46235.0</x:v>
      </x:c>
      <x:c r="C31" s="84" t="s">
        <x:v>81</x:v>
      </x:c>
      <x:c r="D31" s="84">
        <x:v>2026.0</x:v>
      </x:c>
      <x:c r="E31" s="84" t="s">
        <x:v>48</x:v>
      </x:c>
      <x:c r="F31" s="84" t="s">
        <x:v>68</x:v>
      </x:c>
      <x:c r="G31" s="84" t="s">
        <x:v>100</x:v>
      </x:c>
      <x:c r="H31" s="84" t="s">
        <x:v>97</x:v>
      </x:c>
      <x:c r="I31" s="84"/>
      <x:c r="J31" s="84" t="s">
        <x:v>19</x:v>
      </x:c>
      <x:c r="K31" s="84" t="s">
        <x:v>27</x:v>
      </x:c>
      <x:c r="L31" s="84" t="s">
        <x:v>98</x:v>
      </x:c>
      <x:c r="M31" s="85"/>
    </x:row>
    <x:row r="32" ht="36" customHeight="1">
      <x:c r="A32" s="83" t="n">
        <x:v>31</x:v>
      </x:c>
      <x:c r="B32" s="101">
        <x:v>46235.0</x:v>
      </x:c>
      <x:c r="C32" s="84" t="s">
        <x:v>81</x:v>
      </x:c>
      <x:c r="D32" s="84">
        <x:v>2026.0</x:v>
      </x:c>
      <x:c r="E32" s="84" t="s">
        <x:v>48</x:v>
      </x:c>
      <x:c r="F32" s="84" t="s">
        <x:v>68</x:v>
      </x:c>
      <x:c r="G32" s="84" t="s">
        <x:v>101</x:v>
      </x:c>
      <x:c r="H32" s="84" t="s">
        <x:v>97</x:v>
      </x:c>
      <x:c r="I32" s="84"/>
      <x:c r="J32" s="84" t="s">
        <x:v>19</x:v>
      </x:c>
      <x:c r="K32" s="84" t="s">
        <x:v>27</x:v>
      </x:c>
      <x:c r="L32" s="84" t="s">
        <x:v>98</x:v>
      </x:c>
      <x:c r="M32" s="85"/>
    </x:row>
    <x:row r="33" ht="36" customHeight="1">
      <x:c r="A33" s="83" t="n">
        <x:v>32</x:v>
      </x:c>
      <x:c r="B33" s="101">
        <x:v>46235.0</x:v>
      </x:c>
      <x:c r="C33" s="84" t="s">
        <x:v>81</x:v>
      </x:c>
      <x:c r="D33" s="84">
        <x:v>2026.0</x:v>
      </x:c>
      <x:c r="E33" s="84" t="s">
        <x:v>48</x:v>
      </x:c>
      <x:c r="F33" s="84" t="s">
        <x:v>68</x:v>
      </x:c>
      <x:c r="G33" s="84" t="s">
        <x:v>102</x:v>
      </x:c>
      <x:c r="H33" s="84" t="s">
        <x:v>103</x:v>
      </x:c>
      <x:c r="I33" s="84"/>
      <x:c r="J33" s="84" t="s">
        <x:v>19</x:v>
      </x:c>
      <x:c r="K33" s="84" t="s">
        <x:v>27</x:v>
      </x:c>
      <x:c r="L33" s="84" t="s">
        <x:v>104</x:v>
      </x:c>
      <x:c r="M33" s="85"/>
    </x:row>
    <x:row r="34" ht="36" customHeight="1">
      <x:c r="A34" s="83" t="n">
        <x:v>33</x:v>
      </x:c>
      <x:c r="B34" s="101">
        <x:v>46266.0</x:v>
      </x:c>
      <x:c r="C34" s="84" t="s">
        <x:v>105</x:v>
      </x:c>
      <x:c r="D34" s="84">
        <x:v>2026.0</x:v>
      </x:c>
      <x:c r="E34" s="84" t="s">
        <x:v>91</x:v>
      </x:c>
      <x:c r="F34" s="84" t="s">
        <x:v>92</x:v>
      </x:c>
      <x:c r="G34" s="84" t="s">
        <x:v>106</x:v>
      </x:c>
      <x:c r="H34" s="84" t="s">
        <x:v>94</x:v>
      </x:c>
      <x:c r="I34" s="84"/>
      <x:c r="J34" s="84" t="s">
        <x:v>19</x:v>
      </x:c>
      <x:c r="K34" s="84" t="s">
        <x:v>27</x:v>
      </x:c>
      <x:c r="L34" s="84" t="s">
        <x:v>107</x:v>
      </x:c>
      <x:c r="M34" s="85"/>
    </x:row>
    <x:row r="35" ht="36" customHeight="1">
      <x:c r="A35" s="83" t="n">
        <x:v>34</x:v>
      </x:c>
      <x:c r="B35" s="101">
        <x:v>46266.0</x:v>
      </x:c>
      <x:c r="C35" s="84" t="s">
        <x:v>105</x:v>
      </x:c>
      <x:c r="D35" s="84">
        <x:v>2026.0</x:v>
      </x:c>
      <x:c r="E35" s="84" t="s">
        <x:v>91</x:v>
      </x:c>
      <x:c r="F35" s="84" t="s">
        <x:v>92</x:v>
      </x:c>
      <x:c r="G35" s="84" t="s">
        <x:v>108</x:v>
      </x:c>
      <x:c r="H35" s="84" t="s">
        <x:v>94</x:v>
      </x:c>
      <x:c r="I35" s="84"/>
      <x:c r="J35" s="84" t="s">
        <x:v>19</x:v>
      </x:c>
      <x:c r="K35" s="84" t="s">
        <x:v>27</x:v>
      </x:c>
      <x:c r="L35" s="84" t="s">
        <x:v>107</x:v>
      </x:c>
      <x:c r="M35" s="85"/>
    </x:row>
    <x:row r="36" ht="36" customHeight="1">
      <x:c r="A36" s="83" t="n">
        <x:v>35</x:v>
      </x:c>
      <x:c r="B36" s="101">
        <x:v>46266.0</x:v>
      </x:c>
      <x:c r="C36" s="84" t="s">
        <x:v>105</x:v>
      </x:c>
      <x:c r="D36" s="84">
        <x:v>2026.0</x:v>
      </x:c>
      <x:c r="E36" s="84" t="s">
        <x:v>23</x:v>
      </x:c>
      <x:c r="F36" s="84" t="s">
        <x:v>82</x:v>
      </x:c>
      <x:c r="G36" s="84" t="s">
        <x:v>109</x:v>
      </x:c>
      <x:c r="H36" s="84" t="s">
        <x:v>79</x:v>
      </x:c>
      <x:c r="I36" s="84"/>
      <x:c r="J36" s="84" t="s">
        <x:v>19</x:v>
      </x:c>
      <x:c r="K36" s="84" t="s">
        <x:v>27</x:v>
      </x:c>
      <x:c r="L36" s="84" t="s">
        <x:v>110</x:v>
      </x:c>
      <x:c r="M36" s="85"/>
    </x:row>
    <x:row r="37" ht="36" customHeight="1">
      <x:c r="A37" s="83" t="n">
        <x:v>36</x:v>
      </x:c>
      <x:c r="B37" s="101">
        <x:v>46266.0</x:v>
      </x:c>
      <x:c r="C37" s="84" t="s">
        <x:v>105</x:v>
      </x:c>
      <x:c r="D37" s="84">
        <x:v>2026.0</x:v>
      </x:c>
      <x:c r="E37" s="84" t="s">
        <x:v>111</x:v>
      </x:c>
      <x:c r="F37" s="84" t="s">
        <x:v>112</x:v>
      </x:c>
      <x:c r="G37" s="84" t="s">
        <x:v>113</x:v>
      </x:c>
      <x:c r="H37" s="84" t="s">
        <x:v>17</x:v>
      </x:c>
      <x:c r="I37" s="84"/>
      <x:c r="J37" s="84" t="s">
        <x:v>19</x:v>
      </x:c>
      <x:c r="K37" s="84" t="s">
        <x:v>27</x:v>
      </x:c>
      <x:c r="L37" s="84" t="s">
        <x:v>114</x:v>
      </x:c>
      <x:c r="M37" s="85"/>
    </x:row>
    <x:row r="38" ht="36" customHeight="1">
      <x:c r="A38" s="83" t="n">
        <x:v>37</x:v>
      </x:c>
      <x:c r="B38" s="101">
        <x:v>46266.0</x:v>
      </x:c>
      <x:c r="C38" s="84" t="s">
        <x:v>105</x:v>
      </x:c>
      <x:c r="D38" s="84">
        <x:v>2026.0</x:v>
      </x:c>
      <x:c r="E38" s="84" t="s">
        <x:v>111</x:v>
      </x:c>
      <x:c r="F38" s="84" t="s">
        <x:v>112</x:v>
      </x:c>
      <x:c r="G38" s="84" t="s">
        <x:v>115</x:v>
      </x:c>
      <x:c r="H38" s="84" t="s">
        <x:v>17</x:v>
      </x:c>
      <x:c r="I38" s="84"/>
      <x:c r="J38" s="84" t="s">
        <x:v>19</x:v>
      </x:c>
      <x:c r="K38" s="84" t="s">
        <x:v>27</x:v>
      </x:c>
      <x:c r="L38" s="84" t="s">
        <x:v>114</x:v>
      </x:c>
      <x:c r="M38" s="85"/>
    </x:row>
    <x:row r="39" ht="36" customHeight="1">
      <x:c r="A39" s="83" t="n">
        <x:v>38</x:v>
      </x:c>
      <x:c r="B39" s="101">
        <x:v>46266.0</x:v>
      </x:c>
      <x:c r="C39" s="84" t="s">
        <x:v>105</x:v>
      </x:c>
      <x:c r="D39" s="84">
        <x:v>2026.0</x:v>
      </x:c>
      <x:c r="E39" s="84" t="s">
        <x:v>48</x:v>
      </x:c>
      <x:c r="F39" s="84" t="s">
        <x:v>68</x:v>
      </x:c>
      <x:c r="G39" s="84" t="s">
        <x:v>116</x:v>
      </x:c>
      <x:c r="H39" s="84" t="s">
        <x:v>97</x:v>
      </x:c>
      <x:c r="I39" s="84"/>
      <x:c r="J39" s="84" t="s">
        <x:v>19</x:v>
      </x:c>
      <x:c r="K39" s="84" t="s">
        <x:v>27</x:v>
      </x:c>
      <x:c r="L39" s="84" t="s">
        <x:v>117</x:v>
      </x:c>
      <x:c r="M39" s="85"/>
    </x:row>
    <x:row r="40" ht="36" customHeight="1">
      <x:c r="A40" s="83" t="n">
        <x:v>39</x:v>
      </x:c>
      <x:c r="B40" s="101">
        <x:v>46266.0</x:v>
      </x:c>
      <x:c r="C40" s="84" t="s">
        <x:v>105</x:v>
      </x:c>
      <x:c r="D40" s="84">
        <x:v>2026.0</x:v>
      </x:c>
      <x:c r="E40" s="84" t="s">
        <x:v>48</x:v>
      </x:c>
      <x:c r="F40" s="84" t="s">
        <x:v>68</x:v>
      </x:c>
      <x:c r="G40" s="84" t="s">
        <x:v>118</x:v>
      </x:c>
      <x:c r="H40" s="84" t="s">
        <x:v>97</x:v>
      </x:c>
      <x:c r="I40" s="84"/>
      <x:c r="J40" s="84" t="s">
        <x:v>19</x:v>
      </x:c>
      <x:c r="K40" s="84" t="s">
        <x:v>27</x:v>
      </x:c>
      <x:c r="L40" s="84" t="s">
        <x:v>117</x:v>
      </x:c>
      <x:c r="M40" s="85"/>
    </x:row>
    <x:row r="41" ht="36" customHeight="1">
      <x:c r="A41" s="83" t="n">
        <x:v>40</x:v>
      </x:c>
      <x:c r="B41" s="101">
        <x:v>46266.0</x:v>
      </x:c>
      <x:c r="C41" s="84" t="s">
        <x:v>105</x:v>
      </x:c>
      <x:c r="D41" s="84">
        <x:v>2026.0</x:v>
      </x:c>
      <x:c r="E41" s="84" t="s">
        <x:v>48</x:v>
      </x:c>
      <x:c r="F41" s="84" t="s">
        <x:v>68</x:v>
      </x:c>
      <x:c r="G41" s="84" t="s">
        <x:v>119</x:v>
      </x:c>
      <x:c r="H41" s="84" t="s">
        <x:v>97</x:v>
      </x:c>
      <x:c r="I41" s="84"/>
      <x:c r="J41" s="84" t="s">
        <x:v>19</x:v>
      </x:c>
      <x:c r="K41" s="84" t="s">
        <x:v>27</x:v>
      </x:c>
      <x:c r="L41" s="84" t="s">
        <x:v>117</x:v>
      </x:c>
      <x:c r="M41" s="85"/>
    </x:row>
    <x:row r="42" ht="36" customHeight="1">
      <x:c r="A42" s="83" t="n">
        <x:v>41</x:v>
      </x:c>
      <x:c r="B42" s="101">
        <x:v>46296.0</x:v>
      </x:c>
      <x:c r="C42" s="84" t="s">
        <x:v>120</x:v>
      </x:c>
      <x:c r="D42" s="84">
        <x:v>2026.0</x:v>
      </x:c>
      <x:c r="E42" s="84" t="s">
        <x:v>91</x:v>
      </x:c>
      <x:c r="F42" s="84" t="s">
        <x:v>92</x:v>
      </x:c>
      <x:c r="G42" s="84" t="s">
        <x:v>121</x:v>
      </x:c>
      <x:c r="H42" s="84" t="s">
        <x:v>94</x:v>
      </x:c>
      <x:c r="I42" s="84"/>
      <x:c r="J42" s="84" t="s">
        <x:v>19</x:v>
      </x:c>
      <x:c r="K42" s="84" t="s">
        <x:v>27</x:v>
      </x:c>
      <x:c r="L42" s="84" t="s">
        <x:v>122</x:v>
      </x:c>
      <x:c r="M42" s="85"/>
    </x:row>
    <x:row r="43" ht="36" customHeight="1">
      <x:c r="A43" s="83" t="n">
        <x:v>42</x:v>
      </x:c>
      <x:c r="B43" s="101">
        <x:v>46296.0</x:v>
      </x:c>
      <x:c r="C43" s="84" t="s">
        <x:v>120</x:v>
      </x:c>
      <x:c r="D43" s="84">
        <x:v>2026.0</x:v>
      </x:c>
      <x:c r="E43" s="84" t="s">
        <x:v>111</x:v>
      </x:c>
      <x:c r="F43" s="84" t="s">
        <x:v>112</x:v>
      </x:c>
      <x:c r="G43" s="84" t="s">
        <x:v>123</x:v>
      </x:c>
      <x:c r="H43" s="84" t="s">
        <x:v>17</x:v>
      </x:c>
      <x:c r="I43" s="84"/>
      <x:c r="J43" s="84" t="s">
        <x:v>19</x:v>
      </x:c>
      <x:c r="K43" s="84" t="s">
        <x:v>27</x:v>
      </x:c>
      <x:c r="L43" s="84" t="s">
        <x:v>124</x:v>
      </x:c>
      <x:c r="M43" s="85"/>
    </x:row>
    <x:row r="44" ht="36" customHeight="1">
      <x:c r="A44" s="83" t="n">
        <x:v>43</x:v>
      </x:c>
      <x:c r="B44" s="101">
        <x:v>46296.0</x:v>
      </x:c>
      <x:c r="C44" s="84" t="s">
        <x:v>120</x:v>
      </x:c>
      <x:c r="D44" s="84">
        <x:v>2026.0</x:v>
      </x:c>
      <x:c r="E44" s="84" t="s">
        <x:v>111</x:v>
      </x:c>
      <x:c r="F44" s="84" t="s">
        <x:v>112</x:v>
      </x:c>
      <x:c r="G44" s="84" t="s">
        <x:v>125</x:v>
      </x:c>
      <x:c r="H44" s="84" t="s">
        <x:v>17</x:v>
      </x:c>
      <x:c r="I44" s="84"/>
      <x:c r="J44" s="84" t="s">
        <x:v>19</x:v>
      </x:c>
      <x:c r="K44" s="84" t="s">
        <x:v>27</x:v>
      </x:c>
      <x:c r="L44" s="84" t="s">
        <x:v>124</x:v>
      </x:c>
      <x:c r="M44" s="85"/>
    </x:row>
    <x:row r="45" ht="36" customHeight="1">
      <x:c r="A45" s="83" t="n">
        <x:v>44</x:v>
      </x:c>
      <x:c r="B45" s="101">
        <x:v>46296.0</x:v>
      </x:c>
      <x:c r="C45" s="84" t="s">
        <x:v>120</x:v>
      </x:c>
      <x:c r="D45" s="84">
        <x:v>2026.0</x:v>
      </x:c>
      <x:c r="E45" s="84" t="s">
        <x:v>40</x:v>
      </x:c>
      <x:c r="F45" s="84" t="s">
        <x:v>40</x:v>
      </x:c>
      <x:c r="G45" s="84" t="s">
        <x:v>126</x:v>
      </x:c>
      <x:c r="H45" s="84" t="s">
        <x:v>17</x:v>
      </x:c>
      <x:c r="I45" s="84"/>
      <x:c r="J45" s="84" t="s">
        <x:v>19</x:v>
      </x:c>
      <x:c r="K45" s="84" t="s">
        <x:v>27</x:v>
      </x:c>
      <x:c r="L45" s="84" t="s">
        <x:v>127</x:v>
      </x:c>
      <x:c r="M45" s="85"/>
    </x:row>
    <x:row r="46" ht="36" customHeight="1">
      <x:c r="A46" s="83" t="n">
        <x:v>45</x:v>
      </x:c>
      <x:c r="B46" s="101">
        <x:v>46296.0</x:v>
      </x:c>
      <x:c r="C46" s="84" t="s">
        <x:v>120</x:v>
      </x:c>
      <x:c r="D46" s="84">
        <x:v>2026.0</x:v>
      </x:c>
      <x:c r="E46" s="84" t="s">
        <x:v>40</x:v>
      </x:c>
      <x:c r="F46" s="84" t="s">
        <x:v>40</x:v>
      </x:c>
      <x:c r="G46" s="84" t="s">
        <x:v>128</x:v>
      </x:c>
      <x:c r="H46" s="84" t="s">
        <x:v>17</x:v>
      </x:c>
      <x:c r="I46" s="84"/>
      <x:c r="J46" s="84" t="s">
        <x:v>19</x:v>
      </x:c>
      <x:c r="K46" s="84" t="s">
        <x:v>27</x:v>
      </x:c>
      <x:c r="L46" s="84" t="s">
        <x:v>127</x:v>
      </x:c>
      <x:c r="M46" s="85"/>
    </x:row>
    <x:row r="47" ht="36" customHeight="1">
      <x:c r="A47" s="83" t="n">
        <x:v>46</x:v>
      </x:c>
      <x:c r="B47" s="101">
        <x:v>46296.0</x:v>
      </x:c>
      <x:c r="C47" s="84" t="s">
        <x:v>120</x:v>
      </x:c>
      <x:c r="D47" s="84">
        <x:v>2026.0</x:v>
      </x:c>
      <x:c r="E47" s="84" t="s">
        <x:v>48</x:v>
      </x:c>
      <x:c r="F47" s="84" t="s">
        <x:v>68</x:v>
      </x:c>
      <x:c r="G47" s="84" t="s">
        <x:v>129</x:v>
      </x:c>
      <x:c r="H47" s="84" t="s">
        <x:v>103</x:v>
      </x:c>
      <x:c r="I47" s="84"/>
      <x:c r="J47" s="84" t="s">
        <x:v>19</x:v>
      </x:c>
      <x:c r="K47" s="84" t="s">
        <x:v>27</x:v>
      </x:c>
      <x:c r="L47" s="84" t="s">
        <x:v>104</x:v>
      </x:c>
      <x:c r="M47" s="85"/>
    </x:row>
    <x:row r="48" ht="36" customHeight="1">
      <x:c r="A48" s="83" t="n">
        <x:v>47</x:v>
      </x:c>
      <x:c r="B48" s="101">
        <x:v>46296.0</x:v>
      </x:c>
      <x:c r="C48" s="84" t="s">
        <x:v>120</x:v>
      </x:c>
      <x:c r="D48" s="84">
        <x:v>2026.0</x:v>
      </x:c>
      <x:c r="E48" s="84" t="s">
        <x:v>48</x:v>
      </x:c>
      <x:c r="F48" s="84" t="s">
        <x:v>68</x:v>
      </x:c>
      <x:c r="G48" s="84" t="s">
        <x:v>130</x:v>
      </x:c>
      <x:c r="H48" s="84" t="s">
        <x:v>103</x:v>
      </x:c>
      <x:c r="I48" s="84"/>
      <x:c r="J48" s="84" t="s">
        <x:v>19</x:v>
      </x:c>
      <x:c r="K48" s="84" t="s">
        <x:v>27</x:v>
      </x:c>
      <x:c r="L48" s="84" t="s">
        <x:v>104</x:v>
      </x:c>
      <x:c r="M48" s="85"/>
    </x:row>
    <x:row r="49" ht="36" customHeight="1">
      <x:c r="A49" s="83" t="n">
        <x:v>48</x:v>
      </x:c>
      <x:c r="B49" s="101">
        <x:v>46296.0</x:v>
      </x:c>
      <x:c r="C49" s="84" t="s">
        <x:v>120</x:v>
      </x:c>
      <x:c r="D49" s="84">
        <x:v>2026.0</x:v>
      </x:c>
      <x:c r="E49" s="84" t="s">
        <x:v>48</x:v>
      </x:c>
      <x:c r="F49" s="84" t="s">
        <x:v>68</x:v>
      </x:c>
      <x:c r="G49" s="84" t="s">
        <x:v>131</x:v>
      </x:c>
      <x:c r="H49" s="84" t="s">
        <x:v>103</x:v>
      </x:c>
      <x:c r="I49" s="84"/>
      <x:c r="J49" s="84" t="s">
        <x:v>19</x:v>
      </x:c>
      <x:c r="K49" s="84" t="s">
        <x:v>27</x:v>
      </x:c>
      <x:c r="L49" s="84" t="s">
        <x:v>104</x:v>
      </x:c>
      <x:c r="M49" s="85"/>
    </x:row>
    <x:row r="50" ht="36" customHeight="1">
      <x:c r="A50" s="83" t="n">
        <x:v>49</x:v>
      </x:c>
      <x:c r="B50" s="101">
        <x:v>46296.0</x:v>
      </x:c>
      <x:c r="C50" s="84" t="s">
        <x:v>120</x:v>
      </x:c>
      <x:c r="D50" s="84">
        <x:v>2026.0</x:v>
      </x:c>
      <x:c r="E50" s="84" t="s">
        <x:v>48</x:v>
      </x:c>
      <x:c r="F50" s="84" t="s">
        <x:v>68</x:v>
      </x:c>
      <x:c r="G50" s="84" t="s">
        <x:v>132</x:v>
      </x:c>
      <x:c r="H50" s="84" t="s">
        <x:v>103</x:v>
      </x:c>
      <x:c r="I50" s="84"/>
      <x:c r="J50" s="84" t="s">
        <x:v>19</x:v>
      </x:c>
      <x:c r="K50" s="84" t="s">
        <x:v>27</x:v>
      </x:c>
      <x:c r="L50" s="84" t="s">
        <x:v>104</x:v>
      </x:c>
      <x:c r="M50" s="85"/>
    </x:row>
    <x:row r="51" ht="36" customHeight="1">
      <x:c r="A51" s="83" t="n">
        <x:v>50</x:v>
      </x:c>
      <x:c r="B51" s="101">
        <x:v>46327.0</x:v>
      </x:c>
      <x:c r="C51" s="84" t="s">
        <x:v>133</x:v>
      </x:c>
      <x:c r="D51" s="84">
        <x:v>2026.0</x:v>
      </x:c>
      <x:c r="E51" s="84" t="s">
        <x:v>91</x:v>
      </x:c>
      <x:c r="F51" s="84" t="s">
        <x:v>92</x:v>
      </x:c>
      <x:c r="G51" s="84" t="s">
        <x:v>134</x:v>
      </x:c>
      <x:c r="H51" s="84" t="s">
        <x:v>94</x:v>
      </x:c>
      <x:c r="I51" s="84"/>
      <x:c r="J51" s="84" t="s">
        <x:v>19</x:v>
      </x:c>
      <x:c r="K51" s="84" t="s">
        <x:v>27</x:v>
      </x:c>
      <x:c r="L51" s="84" t="s">
        <x:v>122</x:v>
      </x:c>
      <x:c r="M51" s="85"/>
    </x:row>
    <x:row r="52" ht="36" customHeight="1">
      <x:c r="A52" s="83" t="n">
        <x:v>51</x:v>
      </x:c>
      <x:c r="B52" s="101">
        <x:v>46327.0</x:v>
      </x:c>
      <x:c r="C52" s="84" t="s">
        <x:v>133</x:v>
      </x:c>
      <x:c r="D52" s="84">
        <x:v>2026.0</x:v>
      </x:c>
      <x:c r="E52" s="84" t="s">
        <x:v>111</x:v>
      </x:c>
      <x:c r="F52" s="84" t="s">
        <x:v>112</x:v>
      </x:c>
      <x:c r="G52" s="84" t="s">
        <x:v>135</x:v>
      </x:c>
      <x:c r="H52" s="84" t="s">
        <x:v>136</x:v>
      </x:c>
      <x:c r="I52" s="84"/>
      <x:c r="J52" s="84" t="s">
        <x:v>19</x:v>
      </x:c>
      <x:c r="K52" s="84" t="s">
        <x:v>27</x:v>
      </x:c>
      <x:c r="L52" s="84" t="s">
        <x:v>137</x:v>
      </x:c>
      <x:c r="M52" s="85"/>
    </x:row>
    <x:row r="53" ht="36" customHeight="1">
      <x:c r="A53" s="83" t="n">
        <x:v>52</x:v>
      </x:c>
      <x:c r="B53" s="101">
        <x:v>46327.0</x:v>
      </x:c>
      <x:c r="C53" s="84" t="s">
        <x:v>133</x:v>
      </x:c>
      <x:c r="D53" s="84">
        <x:v>2026.0</x:v>
      </x:c>
      <x:c r="E53" s="84" t="s">
        <x:v>111</x:v>
      </x:c>
      <x:c r="F53" s="84" t="s">
        <x:v>112</x:v>
      </x:c>
      <x:c r="G53" s="84" t="s">
        <x:v>138</x:v>
      </x:c>
      <x:c r="H53" s="84" t="s">
        <x:v>136</x:v>
      </x:c>
      <x:c r="I53" s="84"/>
      <x:c r="J53" s="84" t="s">
        <x:v>19</x:v>
      </x:c>
      <x:c r="K53" s="84" t="s">
        <x:v>27</x:v>
      </x:c>
      <x:c r="L53" s="84" t="s">
        <x:v>137</x:v>
      </x:c>
      <x:c r="M53" s="85"/>
    </x:row>
    <x:row r="54" ht="36" customHeight="1">
      <x:c r="A54" s="132" t="n">
        <x:v>53</x:v>
      </x:c>
      <x:c r="B54" s="142"/>
      <x:c r="C54" s="125"/>
      <x:c r="D54" s="125"/>
      <x:c r="E54" s="125"/>
      <x:c r="F54" s="125"/>
      <x:c r="G54" s="125"/>
      <x:c r="H54" s="125"/>
      <x:c r="I54" s="125"/>
      <x:c r="J54" s="125"/>
      <x:c r="K54" s="125"/>
      <x:c r="L54" s="125"/>
      <x:c r="M54" s="126"/>
    </x:row>
    <x:row r="55" ht="36" customHeight="1">
      <x:c r="A55" s="83" t="n">
        <x:v>54</x:v>
      </x:c>
      <x:c r="B55" s="101">
        <x:v>46327.0</x:v>
      </x:c>
      <x:c r="C55" s="84" t="s">
        <x:v>133</x:v>
      </x:c>
      <x:c r="D55" s="84">
        <x:v>2026.0</x:v>
      </x:c>
      <x:c r="E55" s="84" t="s">
        <x:v>57</x:v>
      </x:c>
      <x:c r="F55" s="84" t="s">
        <x:v>58</x:v>
      </x:c>
      <x:c r="G55" s="84" t="s">
        <x:v>139</x:v>
      </x:c>
      <x:c r="H55" s="84" t="s">
        <x:v>60</x:v>
      </x:c>
      <x:c r="I55" s="84"/>
      <x:c r="J55" s="84" t="s">
        <x:v>19</x:v>
      </x:c>
      <x:c r="K55" s="84" t="s">
        <x:v>27</x:v>
      </x:c>
      <x:c r="L55" s="84" t="s">
        <x:v>61</x:v>
      </x:c>
      <x:c r="M55" s="85"/>
    </x:row>
    <x:row r="56" ht="36" customHeight="1">
      <x:c r="A56" s="83" t="n">
        <x:v>55</x:v>
      </x:c>
      <x:c r="B56" s="101">
        <x:v>46327.0</x:v>
      </x:c>
      <x:c r="C56" s="84" t="s">
        <x:v>133</x:v>
      </x:c>
      <x:c r="D56" s="84">
        <x:v>2026.0</x:v>
      </x:c>
      <x:c r="E56" s="84" t="s">
        <x:v>57</x:v>
      </x:c>
      <x:c r="F56" s="84" t="s">
        <x:v>58</x:v>
      </x:c>
      <x:c r="G56" s="84" t="s">
        <x:v>140</x:v>
      </x:c>
      <x:c r="H56" s="84" t="s">
        <x:v>60</x:v>
      </x:c>
      <x:c r="I56" s="84"/>
      <x:c r="J56" s="84" t="s">
        <x:v>19</x:v>
      </x:c>
      <x:c r="K56" s="84" t="s">
        <x:v>27</x:v>
      </x:c>
      <x:c r="L56" s="84" t="s">
        <x:v>61</x:v>
      </x:c>
      <x:c r="M56" s="85"/>
    </x:row>
    <x:row r="57" ht="36" customHeight="1">
      <x:c r="A57" s="83" t="n">
        <x:v>56</x:v>
      </x:c>
      <x:c r="B57" s="101">
        <x:v>46327.0</x:v>
      </x:c>
      <x:c r="C57" s="84" t="s">
        <x:v>133</x:v>
      </x:c>
      <x:c r="D57" s="84">
        <x:v>2026.0</x:v>
      </x:c>
      <x:c r="E57" s="84" t="s">
        <x:v>57</x:v>
      </x:c>
      <x:c r="F57" s="84" t="s">
        <x:v>58</x:v>
      </x:c>
      <x:c r="G57" s="84" t="s">
        <x:v>141</x:v>
      </x:c>
      <x:c r="H57" s="84" t="s">
        <x:v>60</x:v>
      </x:c>
      <x:c r="I57" s="84"/>
      <x:c r="J57" s="84" t="s">
        <x:v>19</x:v>
      </x:c>
      <x:c r="K57" s="84" t="s">
        <x:v>27</x:v>
      </x:c>
      <x:c r="L57" s="84" t="s">
        <x:v>61</x:v>
      </x:c>
      <x:c r="M57" s="85"/>
    </x:row>
    <x:row r="58" ht="36" customHeight="1">
      <x:c r="A58" s="83" t="n">
        <x:v>57</x:v>
      </x:c>
      <x:c r="B58" s="101">
        <x:v>46327.0</x:v>
      </x:c>
      <x:c r="C58" s="84" t="s">
        <x:v>133</x:v>
      </x:c>
      <x:c r="D58" s="84">
        <x:v>2026.0</x:v>
      </x:c>
      <x:c r="E58" s="84" t="s">
        <x:v>57</x:v>
      </x:c>
      <x:c r="F58" s="84" t="s">
        <x:v>58</x:v>
      </x:c>
      <x:c r="G58" s="84" t="s">
        <x:v>142</x:v>
      </x:c>
      <x:c r="H58" s="84" t="s">
        <x:v>60</x:v>
      </x:c>
      <x:c r="I58" s="84"/>
      <x:c r="J58" s="84" t="s">
        <x:v>19</x:v>
      </x:c>
      <x:c r="K58" s="84" t="s">
        <x:v>27</x:v>
      </x:c>
      <x:c r="L58" s="84" t="s">
        <x:v>61</x:v>
      </x:c>
      <x:c r="M58" s="85"/>
    </x:row>
    <x:row r="59" ht="36" customHeight="1">
      <x:c r="A59" s="83" t="n">
        <x:v>58</x:v>
      </x:c>
      <x:c r="B59" s="101">
        <x:v>46327.0</x:v>
      </x:c>
      <x:c r="C59" s="84" t="s">
        <x:v>133</x:v>
      </x:c>
      <x:c r="D59" s="84">
        <x:v>2026.0</x:v>
      </x:c>
      <x:c r="E59" s="84" t="s">
        <x:v>48</x:v>
      </x:c>
      <x:c r="F59" s="84" t="s">
        <x:v>68</x:v>
      </x:c>
      <x:c r="G59" s="84" t="s">
        <x:v>143</x:v>
      </x:c>
      <x:c r="H59" s="84" t="s">
        <x:v>144</x:v>
      </x:c>
      <x:c r="I59" s="84"/>
      <x:c r="J59" s="84" t="s">
        <x:v>19</x:v>
      </x:c>
      <x:c r="K59" s="84" t="s">
        <x:v>27</x:v>
      </x:c>
      <x:c r="L59" s="84" t="s">
        <x:v>145</x:v>
      </x:c>
      <x:c r="M59" s="85"/>
    </x:row>
    <x:row r="60" ht="36" customHeight="1">
      <x:c r="A60" s="83" t="n">
        <x:v>59</x:v>
      </x:c>
      <x:c r="B60" s="101">
        <x:v>46327.0</x:v>
      </x:c>
      <x:c r="C60" s="84" t="s">
        <x:v>133</x:v>
      </x:c>
      <x:c r="D60" s="84">
        <x:v>2026.0</x:v>
      </x:c>
      <x:c r="E60" s="84" t="s">
        <x:v>48</x:v>
      </x:c>
      <x:c r="F60" s="84" t="s">
        <x:v>68</x:v>
      </x:c>
      <x:c r="G60" s="84" t="s">
        <x:v>146</x:v>
      </x:c>
      <x:c r="H60" s="84" t="s">
        <x:v>144</x:v>
      </x:c>
      <x:c r="I60" s="84"/>
      <x:c r="J60" s="84" t="s">
        <x:v>19</x:v>
      </x:c>
      <x:c r="K60" s="84" t="s">
        <x:v>27</x:v>
      </x:c>
      <x:c r="L60" s="84" t="s">
        <x:v>145</x:v>
      </x:c>
      <x:c r="M60" s="85"/>
    </x:row>
    <x:row r="61" ht="36" customHeight="1">
      <x:c r="A61" s="83" t="n">
        <x:v>60</x:v>
      </x:c>
      <x:c r="B61" s="101">
        <x:v>46327.0</x:v>
      </x:c>
      <x:c r="C61" s="84" t="s">
        <x:v>133</x:v>
      </x:c>
      <x:c r="D61" s="84">
        <x:v>2026.0</x:v>
      </x:c>
      <x:c r="E61" s="84" t="s">
        <x:v>48</x:v>
      </x:c>
      <x:c r="F61" s="84" t="s">
        <x:v>68</x:v>
      </x:c>
      <x:c r="G61" s="84" t="s">
        <x:v>147</x:v>
      </x:c>
      <x:c r="H61" s="84" t="s">
        <x:v>144</x:v>
      </x:c>
      <x:c r="I61" s="84"/>
      <x:c r="J61" s="84" t="s">
        <x:v>19</x:v>
      </x:c>
      <x:c r="K61" s="84" t="s">
        <x:v>27</x:v>
      </x:c>
      <x:c r="L61" s="84" t="s">
        <x:v>145</x:v>
      </x:c>
      <x:c r="M61" s="85"/>
    </x:row>
    <x:row r="62" ht="36" customHeight="1">
      <x:c r="A62" s="83" t="n">
        <x:v>61</x:v>
      </x:c>
      <x:c r="B62" s="101">
        <x:v>46327.0</x:v>
      </x:c>
      <x:c r="C62" s="84" t="s">
        <x:v>133</x:v>
      </x:c>
      <x:c r="D62" s="84">
        <x:v>2026.0</x:v>
      </x:c>
      <x:c r="E62" s="84" t="s">
        <x:v>111</x:v>
      </x:c>
      <x:c r="F62" s="84" t="s">
        <x:v>148</x:v>
      </x:c>
      <x:c r="G62" s="84" t="s">
        <x:v>149</x:v>
      </x:c>
      <x:c r="H62" s="84" t="s">
        <x:v>150</x:v>
      </x:c>
      <x:c r="I62" s="84"/>
      <x:c r="J62" s="84" t="s">
        <x:v>19</x:v>
      </x:c>
      <x:c r="K62" s="84" t="s">
        <x:v>27</x:v>
      </x:c>
      <x:c r="L62" s="84" t="s">
        <x:v>151</x:v>
      </x:c>
      <x:c r="M62" s="85"/>
    </x:row>
    <x:row r="63" ht="36" customHeight="1">
      <x:c r="A63" s="83" t="n">
        <x:v>62</x:v>
      </x:c>
      <x:c r="B63" s="101">
        <x:v>46327.0</x:v>
      </x:c>
      <x:c r="C63" s="84" t="s">
        <x:v>133</x:v>
      </x:c>
      <x:c r="D63" s="84">
        <x:v>2026.0</x:v>
      </x:c>
      <x:c r="E63" s="84" t="s">
        <x:v>111</x:v>
      </x:c>
      <x:c r="F63" s="84" t="s">
        <x:v>148</x:v>
      </x:c>
      <x:c r="G63" s="84" t="s">
        <x:v>152</x:v>
      </x:c>
      <x:c r="H63" s="84" t="s">
        <x:v>150</x:v>
      </x:c>
      <x:c r="I63" s="84"/>
      <x:c r="J63" s="84" t="s">
        <x:v>19</x:v>
      </x:c>
      <x:c r="K63" s="84" t="s">
        <x:v>27</x:v>
      </x:c>
      <x:c r="L63" s="84" t="s">
        <x:v>151</x:v>
      </x:c>
      <x:c r="M63" s="85"/>
    </x:row>
    <x:row r="64" ht="36" customHeight="1">
      <x:c r="A64" s="83" t="n">
        <x:v>63</x:v>
      </x:c>
      <x:c r="B64" s="101">
        <x:v>46327.0</x:v>
      </x:c>
      <x:c r="C64" s="84" t="s">
        <x:v>133</x:v>
      </x:c>
      <x:c r="D64" s="84">
        <x:v>2026.0</x:v>
      </x:c>
      <x:c r="E64" s="84" t="s">
        <x:v>111</x:v>
      </x:c>
      <x:c r="F64" s="84" t="s">
        <x:v>148</x:v>
      </x:c>
      <x:c r="G64" s="84" t="s">
        <x:v>153</x:v>
      </x:c>
      <x:c r="H64" s="84" t="s">
        <x:v>150</x:v>
      </x:c>
      <x:c r="I64" s="84"/>
      <x:c r="J64" s="84" t="s">
        <x:v>19</x:v>
      </x:c>
      <x:c r="K64" s="84" t="s">
        <x:v>27</x:v>
      </x:c>
      <x:c r="L64" s="84" t="s">
        <x:v>151</x:v>
      </x:c>
      <x:c r="M64" s="85"/>
    </x:row>
    <x:row r="65" ht="36" customHeight="1">
      <x:c r="A65" s="83" t="n">
        <x:v>64</x:v>
      </x:c>
      <x:c r="B65" s="101">
        <x:v>46327.0</x:v>
      </x:c>
      <x:c r="C65" s="84" t="s">
        <x:v>133</x:v>
      </x:c>
      <x:c r="D65" s="84">
        <x:v>2026.0</x:v>
      </x:c>
      <x:c r="E65" s="84" t="s">
        <x:v>111</x:v>
      </x:c>
      <x:c r="F65" s="84" t="s">
        <x:v>148</x:v>
      </x:c>
      <x:c r="G65" s="84" t="s">
        <x:v>154</x:v>
      </x:c>
      <x:c r="H65" s="84" t="s">
        <x:v>150</x:v>
      </x:c>
      <x:c r="I65" s="84"/>
      <x:c r="J65" s="84" t="s">
        <x:v>19</x:v>
      </x:c>
      <x:c r="K65" s="84" t="s">
        <x:v>27</x:v>
      </x:c>
      <x:c r="L65" s="84" t="s">
        <x:v>151</x:v>
      </x:c>
      <x:c r="M65" s="85"/>
    </x:row>
    <x:row r="66" ht="36" customHeight="1">
      <x:c r="A66" s="83" t="n">
        <x:v>65</x:v>
      </x:c>
      <x:c r="B66" s="101">
        <x:v>46327.0</x:v>
      </x:c>
      <x:c r="C66" s="84" t="s">
        <x:v>133</x:v>
      </x:c>
      <x:c r="D66" s="84">
        <x:v>2026.0</x:v>
      </x:c>
      <x:c r="E66" s="84" t="s">
        <x:v>111</x:v>
      </x:c>
      <x:c r="F66" s="84" t="s">
        <x:v>148</x:v>
      </x:c>
      <x:c r="G66" s="84" t="s">
        <x:v>155</x:v>
      </x:c>
      <x:c r="H66" s="84" t="s">
        <x:v>150</x:v>
      </x:c>
      <x:c r="I66" s="84"/>
      <x:c r="J66" s="84" t="s">
        <x:v>19</x:v>
      </x:c>
      <x:c r="K66" s="84" t="s">
        <x:v>27</x:v>
      </x:c>
      <x:c r="L66" s="84" t="s">
        <x:v>151</x:v>
      </x:c>
      <x:c r="M66" s="85"/>
    </x:row>
    <x:row r="67" ht="36" customHeight="1">
      <x:c r="A67" s="83" t="n">
        <x:v>66</x:v>
      </x:c>
      <x:c r="B67" s="101">
        <x:v>46357.0</x:v>
      </x:c>
      <x:c r="C67" s="84" t="s">
        <x:v>156</x:v>
      </x:c>
      <x:c r="D67" s="84">
        <x:v>2026.0</x:v>
      </x:c>
      <x:c r="E67" s="84" t="s">
        <x:v>91</x:v>
      </x:c>
      <x:c r="F67" s="84" t="s">
        <x:v>92</x:v>
      </x:c>
      <x:c r="G67" s="84" t="s">
        <x:v>157</x:v>
      </x:c>
      <x:c r="H67" s="84" t="s">
        <x:v>94</x:v>
      </x:c>
      <x:c r="I67" s="84"/>
      <x:c r="J67" s="84" t="s">
        <x:v>19</x:v>
      </x:c>
      <x:c r="K67" s="131" t="s">
        <x:v>20</x:v>
      </x:c>
      <x:c r="L67" s="84" t="s">
        <x:v>158</x:v>
      </x:c>
      <x:c r="M67" s="85"/>
    </x:row>
    <x:row r="68" ht="36" customHeight="1">
      <x:c r="A68" s="83" t="n">
        <x:v>67</x:v>
      </x:c>
      <x:c r="B68" s="101">
        <x:v>46357.0</x:v>
      </x:c>
      <x:c r="C68" s="84" t="s">
        <x:v>156</x:v>
      </x:c>
      <x:c r="D68" s="84">
        <x:v>2026.0</x:v>
      </x:c>
      <x:c r="E68" s="84" t="s">
        <x:v>111</x:v>
      </x:c>
      <x:c r="F68" s="84" t="s">
        <x:v>112</x:v>
      </x:c>
      <x:c r="G68" s="84" t="s">
        <x:v>159</x:v>
      </x:c>
      <x:c r="H68" s="84" t="s">
        <x:v>160</x:v>
      </x:c>
      <x:c r="I68" s="84"/>
      <x:c r="J68" s="84" t="s">
        <x:v>19</x:v>
      </x:c>
      <x:c r="K68" s="131" t="s">
        <x:v>20</x:v>
      </x:c>
      <x:c r="L68" s="84" t="s">
        <x:v>161</x:v>
      </x:c>
      <x:c r="M68" s="85"/>
    </x:row>
    <x:row r="69" ht="36" customHeight="1">
      <x:c r="A69" s="83" t="n">
        <x:v>68</x:v>
      </x:c>
      <x:c r="B69" s="101">
        <x:v>46357.0</x:v>
      </x:c>
      <x:c r="C69" s="84" t="s">
        <x:v>156</x:v>
      </x:c>
      <x:c r="D69" s="84">
        <x:v>2026.0</x:v>
      </x:c>
      <x:c r="E69" s="84" t="s">
        <x:v>111</x:v>
      </x:c>
      <x:c r="F69" s="84" t="s">
        <x:v>112</x:v>
      </x:c>
      <x:c r="G69" s="84" t="s">
        <x:v>162</x:v>
      </x:c>
      <x:c r="H69" s="84" t="s">
        <x:v>160</x:v>
      </x:c>
      <x:c r="I69" s="84"/>
      <x:c r="J69" s="84" t="s">
        <x:v>19</x:v>
      </x:c>
      <x:c r="K69" s="131" t="s">
        <x:v>20</x:v>
      </x:c>
      <x:c r="L69" s="84" t="s">
        <x:v>161</x:v>
      </x:c>
      <x:c r="M69" s="85"/>
    </x:row>
    <x:row r="70" ht="36" customHeight="1">
      <x:c r="A70" s="83" t="n">
        <x:v>69</x:v>
      </x:c>
      <x:c r="B70" s="101">
        <x:v>46357.0</x:v>
      </x:c>
      <x:c r="C70" s="84" t="s">
        <x:v>156</x:v>
      </x:c>
      <x:c r="D70" s="84">
        <x:v>2026.0</x:v>
      </x:c>
      <x:c r="E70" s="84" t="s">
        <x:v>111</x:v>
      </x:c>
      <x:c r="F70" s="84" t="s">
        <x:v>112</x:v>
      </x:c>
      <x:c r="G70" s="84" t="s">
        <x:v>163</x:v>
      </x:c>
      <x:c r="H70" s="84" t="s">
        <x:v>160</x:v>
      </x:c>
      <x:c r="I70" s="84"/>
      <x:c r="J70" s="84" t="s">
        <x:v>19</x:v>
      </x:c>
      <x:c r="K70" s="131" t="s">
        <x:v>20</x:v>
      </x:c>
      <x:c r="L70" s="84" t="s">
        <x:v>161</x:v>
      </x:c>
      <x:c r="M70" s="85"/>
    </x:row>
    <x:row r="71" ht="36" customHeight="1">
      <x:c r="A71" s="83" t="n">
        <x:v>70</x:v>
      </x:c>
      <x:c r="B71" s="101">
        <x:v>46357.0</x:v>
      </x:c>
      <x:c r="C71" s="84" t="s">
        <x:v>156</x:v>
      </x:c>
      <x:c r="D71" s="84">
        <x:v>2026.0</x:v>
      </x:c>
      <x:c r="E71" s="84" t="s">
        <x:v>111</x:v>
      </x:c>
      <x:c r="F71" s="84" t="s">
        <x:v>112</x:v>
      </x:c>
      <x:c r="G71" s="84" t="s">
        <x:v>164</x:v>
      </x:c>
      <x:c r="H71" s="84" t="s">
        <x:v>160</x:v>
      </x:c>
      <x:c r="I71" s="84"/>
      <x:c r="J71" s="84" t="s">
        <x:v>19</x:v>
      </x:c>
      <x:c r="K71" s="131" t="s">
        <x:v>20</x:v>
      </x:c>
      <x:c r="L71" s="84" t="s">
        <x:v>161</x:v>
      </x:c>
      <x:c r="M71" s="85"/>
    </x:row>
    <x:row r="72" ht="36" customHeight="1">
      <x:c r="A72" s="83" t="n">
        <x:v>71</x:v>
      </x:c>
      <x:c r="B72" s="101">
        <x:v>46357.0</x:v>
      </x:c>
      <x:c r="C72" s="84" t="s">
        <x:v>156</x:v>
      </x:c>
      <x:c r="D72" s="84">
        <x:v>2026.0</x:v>
      </x:c>
      <x:c r="E72" s="84" t="s">
        <x:v>111</x:v>
      </x:c>
      <x:c r="F72" s="84" t="s">
        <x:v>112</x:v>
      </x:c>
      <x:c r="G72" s="84" t="s">
        <x:v>165</x:v>
      </x:c>
      <x:c r="H72" s="84" t="s">
        <x:v>160</x:v>
      </x:c>
      <x:c r="I72" s="84"/>
      <x:c r="J72" s="84" t="s">
        <x:v>19</x:v>
      </x:c>
      <x:c r="K72" s="131" t="s">
        <x:v>20</x:v>
      </x:c>
      <x:c r="L72" s="84" t="s">
        <x:v>161</x:v>
      </x:c>
      <x:c r="M72" s="85"/>
    </x:row>
    <x:row r="73" ht="36" customHeight="1">
      <x:c r="A73" s="83" t="n">
        <x:v>72</x:v>
      </x:c>
      <x:c r="B73" s="101">
        <x:v>46357.0</x:v>
      </x:c>
      <x:c r="C73" s="84" t="s">
        <x:v>156</x:v>
      </x:c>
      <x:c r="D73" s="84">
        <x:v>2026.0</x:v>
      </x:c>
      <x:c r="E73" s="84" t="s">
        <x:v>111</x:v>
      </x:c>
      <x:c r="F73" s="84" t="s">
        <x:v>112</x:v>
      </x:c>
      <x:c r="G73" s="84" t="s">
        <x:v>166</x:v>
      </x:c>
      <x:c r="H73" s="84" t="s">
        <x:v>160</x:v>
      </x:c>
      <x:c r="I73" s="84"/>
      <x:c r="J73" s="84" t="s">
        <x:v>19</x:v>
      </x:c>
      <x:c r="K73" s="131" t="s">
        <x:v>20</x:v>
      </x:c>
      <x:c r="L73" s="84" t="s">
        <x:v>161</x:v>
      </x:c>
      <x:c r="M73" s="85"/>
    </x:row>
    <x:row r="74" ht="36" customHeight="1">
      <x:c r="A74" s="83" t="n">
        <x:v>73</x:v>
      </x:c>
      <x:c r="B74" s="101">
        <x:v>46357.0</x:v>
      </x:c>
      <x:c r="C74" s="84" t="s">
        <x:v>156</x:v>
      </x:c>
      <x:c r="D74" s="84">
        <x:v>2026.0</x:v>
      </x:c>
      <x:c r="E74" s="84" t="s">
        <x:v>111</x:v>
      </x:c>
      <x:c r="F74" s="84" t="s">
        <x:v>112</x:v>
      </x:c>
      <x:c r="G74" s="84" t="s">
        <x:v>167</x:v>
      </x:c>
      <x:c r="H74" s="84" t="s">
        <x:v>160</x:v>
      </x:c>
      <x:c r="I74" s="84"/>
      <x:c r="J74" s="84" t="s">
        <x:v>19</x:v>
      </x:c>
      <x:c r="K74" s="131" t="s">
        <x:v>20</x:v>
      </x:c>
      <x:c r="L74" s="84" t="s">
        <x:v>161</x:v>
      </x:c>
      <x:c r="M74" s="85"/>
    </x:row>
    <x:row r="75" ht="36" customHeight="1">
      <x:c r="A75" s="83" t="n">
        <x:v>74</x:v>
      </x:c>
      <x:c r="B75" s="101">
        <x:v>46357.0</x:v>
      </x:c>
      <x:c r="C75" s="84" t="s">
        <x:v>156</x:v>
      </x:c>
      <x:c r="D75" s="84">
        <x:v>2026.0</x:v>
      </x:c>
      <x:c r="E75" s="84" t="s">
        <x:v>111</x:v>
      </x:c>
      <x:c r="F75" s="84" t="s">
        <x:v>112</x:v>
      </x:c>
      <x:c r="G75" s="84" t="s">
        <x:v>168</x:v>
      </x:c>
      <x:c r="H75" s="84" t="s">
        <x:v>160</x:v>
      </x:c>
      <x:c r="I75" s="84"/>
      <x:c r="J75" s="84" t="s">
        <x:v>19</x:v>
      </x:c>
      <x:c r="K75" s="131" t="s">
        <x:v>20</x:v>
      </x:c>
      <x:c r="L75" s="84" t="s">
        <x:v>161</x:v>
      </x:c>
      <x:c r="M75" s="85"/>
    </x:row>
    <x:row r="76" ht="36" customHeight="1">
      <x:c r="A76" s="83" t="n">
        <x:v>75</x:v>
      </x:c>
      <x:c r="B76" s="101">
        <x:v>46357.0</x:v>
      </x:c>
      <x:c r="C76" s="84" t="s">
        <x:v>156</x:v>
      </x:c>
      <x:c r="D76" s="84">
        <x:v>2026.0</x:v>
      </x:c>
      <x:c r="E76" s="84" t="s">
        <x:v>111</x:v>
      </x:c>
      <x:c r="F76" s="84" t="s">
        <x:v>112</x:v>
      </x:c>
      <x:c r="G76" s="84" t="s">
        <x:v>169</x:v>
      </x:c>
      <x:c r="H76" s="84" t="s">
        <x:v>160</x:v>
      </x:c>
      <x:c r="I76" s="84"/>
      <x:c r="J76" s="84" t="s">
        <x:v>19</x:v>
      </x:c>
      <x:c r="K76" s="131" t="s">
        <x:v>20</x:v>
      </x:c>
      <x:c r="L76" s="84" t="s">
        <x:v>161</x:v>
      </x:c>
      <x:c r="M76" s="85"/>
    </x:row>
    <x:row r="77" ht="36" customHeight="1">
      <x:c r="A77" s="83" t="n">
        <x:v>76</x:v>
      </x:c>
      <x:c r="B77" s="101">
        <x:v>46357.0</x:v>
      </x:c>
      <x:c r="C77" s="84" t="s">
        <x:v>156</x:v>
      </x:c>
      <x:c r="D77" s="84">
        <x:v>2026.0</x:v>
      </x:c>
      <x:c r="E77" s="84" t="s">
        <x:v>48</x:v>
      </x:c>
      <x:c r="F77" s="84" t="s">
        <x:v>68</x:v>
      </x:c>
      <x:c r="G77" s="84" t="s">
        <x:v>170</x:v>
      </x:c>
      <x:c r="H77" s="84" t="s">
        <x:v>144</x:v>
      </x:c>
      <x:c r="I77" s="84"/>
      <x:c r="J77" s="84" t="s">
        <x:v>19</x:v>
      </x:c>
      <x:c r="K77" s="84" t="s">
        <x:v>27</x:v>
      </x:c>
      <x:c r="L77" s="84" t="s">
        <x:v>171</x:v>
      </x:c>
      <x:c r="M77" s="85"/>
    </x:row>
    <x:row r="78" ht="36" customHeight="1">
      <x:c r="A78" s="83" t="n">
        <x:v>77</x:v>
      </x:c>
      <x:c r="B78" s="101">
        <x:v>46357.0</x:v>
      </x:c>
      <x:c r="C78" s="84" t="s">
        <x:v>156</x:v>
      </x:c>
      <x:c r="D78" s="84">
        <x:v>2026.0</x:v>
      </x:c>
      <x:c r="E78" s="84" t="s">
        <x:v>40</x:v>
      </x:c>
      <x:c r="F78" s="84" t="s">
        <x:v>40</x:v>
      </x:c>
      <x:c r="G78" s="84" t="s">
        <x:v>172</x:v>
      </x:c>
      <x:c r="H78" s="84" t="s">
        <x:v>17</x:v>
      </x:c>
      <x:c r="I78" s="84"/>
      <x:c r="J78" s="84" t="s">
        <x:v>19</x:v>
      </x:c>
      <x:c r="K78" s="131" t="s">
        <x:v>20</x:v>
      </x:c>
      <x:c r="L78" s="84" t="s">
        <x:v>173</x:v>
      </x:c>
      <x:c r="M78" s="85"/>
    </x:row>
    <x:row r="79" ht="36" customHeight="1">
      <x:c r="A79" s="83" t="n">
        <x:v>78</x:v>
      </x:c>
      <x:c r="B79" s="101">
        <x:v>46357.0</x:v>
      </x:c>
      <x:c r="C79" s="84" t="s">
        <x:v>156</x:v>
      </x:c>
      <x:c r="D79" s="84">
        <x:v>2026.0</x:v>
      </x:c>
      <x:c r="E79" s="84" t="s">
        <x:v>40</x:v>
      </x:c>
      <x:c r="F79" s="84" t="s">
        <x:v>40</x:v>
      </x:c>
      <x:c r="G79" s="84" t="s">
        <x:v>174</x:v>
      </x:c>
      <x:c r="H79" s="84" t="s">
        <x:v>17</x:v>
      </x:c>
      <x:c r="I79" s="84"/>
      <x:c r="J79" s="84" t="s">
        <x:v>19</x:v>
      </x:c>
      <x:c r="K79" s="131" t="s">
        <x:v>20</x:v>
      </x:c>
      <x:c r="L79" s="84" t="s">
        <x:v>173</x:v>
      </x:c>
      <x:c r="M79" s="85"/>
    </x:row>
    <x:row r="80" ht="36" customHeight="1">
      <x:c r="A80" s="83" t="n">
        <x:v>79</x:v>
      </x:c>
      <x:c r="B80" s="101">
        <x:v>46357.0</x:v>
      </x:c>
      <x:c r="C80" s="84" t="s">
        <x:v>156</x:v>
      </x:c>
      <x:c r="D80" s="84">
        <x:v>2026.0</x:v>
      </x:c>
      <x:c r="E80" s="84" t="s">
        <x:v>40</x:v>
      </x:c>
      <x:c r="F80" s="84" t="s">
        <x:v>40</x:v>
      </x:c>
      <x:c r="G80" s="84" t="s">
        <x:v>175</x:v>
      </x:c>
      <x:c r="H80" s="84" t="s">
        <x:v>17</x:v>
      </x:c>
      <x:c r="I80" s="84"/>
      <x:c r="J80" s="84" t="s">
        <x:v>19</x:v>
      </x:c>
      <x:c r="K80" s="131" t="s">
        <x:v>20</x:v>
      </x:c>
      <x:c r="L80" s="84" t="s">
        <x:v>173</x:v>
      </x:c>
      <x:c r="M80" s="85"/>
    </x:row>
    <x:row r="81" ht="36" customHeight="1">
      <x:c r="A81" s="83" t="n">
        <x:v>80</x:v>
      </x:c>
      <x:c r="B81" s="101">
        <x:v>46357.0</x:v>
      </x:c>
      <x:c r="C81" s="84" t="s">
        <x:v>156</x:v>
      </x:c>
      <x:c r="D81" s="84">
        <x:v>2026.0</x:v>
      </x:c>
      <x:c r="E81" s="84" t="s">
        <x:v>40</x:v>
      </x:c>
      <x:c r="F81" s="84" t="s">
        <x:v>40</x:v>
      </x:c>
      <x:c r="G81" s="84" t="s">
        <x:v>176</x:v>
      </x:c>
      <x:c r="H81" s="84" t="s">
        <x:v>17</x:v>
      </x:c>
      <x:c r="I81" s="84"/>
      <x:c r="J81" s="84" t="s">
        <x:v>19</x:v>
      </x:c>
      <x:c r="K81" s="131" t="s">
        <x:v>20</x:v>
      </x:c>
      <x:c r="L81" s="84" t="s">
        <x:v>173</x:v>
      </x:c>
      <x:c r="M81" s="85"/>
    </x:row>
    <x:row r="82" ht="36" customHeight="1">
      <x:c r="A82" s="83" t="n">
        <x:v>81</x:v>
      </x:c>
      <x:c r="B82" s="101">
        <x:v>46388.0</x:v>
      </x:c>
      <x:c r="C82" s="84" t="s">
        <x:v>177</x:v>
      </x:c>
      <x:c r="D82" s="84">
        <x:v>2027.0</x:v>
      </x:c>
      <x:c r="E82" s="84" t="s">
        <x:v>111</x:v>
      </x:c>
      <x:c r="F82" s="84" t="s">
        <x:v>148</x:v>
      </x:c>
      <x:c r="G82" s="84" t="s">
        <x:v>178</x:v>
      </x:c>
      <x:c r="H82" s="84" t="s">
        <x:v>112</x:v>
      </x:c>
      <x:c r="I82" s="84"/>
      <x:c r="J82" s="84" t="s">
        <x:v>19</x:v>
      </x:c>
      <x:c r="K82" s="131" t="s">
        <x:v>20</x:v>
      </x:c>
      <x:c r="L82" s="84" t="s">
        <x:v>179</x:v>
      </x:c>
      <x:c r="M82" s="85" t="s">
        <x:v>180</x:v>
      </x:c>
    </x:row>
    <x:row r="83" ht="36" customHeight="1">
      <x:c r="A83" s="83" t="n">
        <x:v>82</x:v>
      </x:c>
      <x:c r="B83" s="101">
        <x:v>46388.0</x:v>
      </x:c>
      <x:c r="C83" s="84" t="s">
        <x:v>177</x:v>
      </x:c>
      <x:c r="D83" s="84">
        <x:v>2027.0</x:v>
      </x:c>
      <x:c r="E83" s="84" t="s">
        <x:v>111</x:v>
      </x:c>
      <x:c r="F83" s="84" t="s">
        <x:v>148</x:v>
      </x:c>
      <x:c r="G83" s="84" t="s">
        <x:v>181</x:v>
      </x:c>
      <x:c r="H83" s="84" t="s">
        <x:v>112</x:v>
      </x:c>
      <x:c r="I83" s="84"/>
      <x:c r="J83" s="84" t="s">
        <x:v>19</x:v>
      </x:c>
      <x:c r="K83" s="131" t="s">
        <x:v>20</x:v>
      </x:c>
      <x:c r="L83" s="84" t="s">
        <x:v>179</x:v>
      </x:c>
      <x:c r="M83" s="85" t="s">
        <x:v>180</x:v>
      </x:c>
    </x:row>
    <x:row r="84" ht="36" customHeight="1">
      <x:c r="A84" s="83" t="n">
        <x:v>83</x:v>
      </x:c>
      <x:c r="B84" s="101">
        <x:v>46388.0</x:v>
      </x:c>
      <x:c r="C84" s="84" t="s">
        <x:v>177</x:v>
      </x:c>
      <x:c r="D84" s="84">
        <x:v>2027.0</x:v>
      </x:c>
      <x:c r="E84" s="84" t="s">
        <x:v>111</x:v>
      </x:c>
      <x:c r="F84" s="84" t="s">
        <x:v>148</x:v>
      </x:c>
      <x:c r="G84" s="84" t="s">
        <x:v>182</x:v>
      </x:c>
      <x:c r="H84" s="84" t="s">
        <x:v>112</x:v>
      </x:c>
      <x:c r="I84" s="84"/>
      <x:c r="J84" s="84" t="s">
        <x:v>19</x:v>
      </x:c>
      <x:c r="K84" s="131" t="s">
        <x:v>20</x:v>
      </x:c>
      <x:c r="L84" s="84" t="s">
        <x:v>179</x:v>
      </x:c>
      <x:c r="M84" s="85" t="s">
        <x:v>180</x:v>
      </x:c>
    </x:row>
    <x:row r="85" ht="36" customHeight="1">
      <x:c r="A85" s="83" t="n">
        <x:v>84</x:v>
      </x:c>
      <x:c r="B85" s="101">
        <x:v>46388.0</x:v>
      </x:c>
      <x:c r="C85" s="84" t="s">
        <x:v>177</x:v>
      </x:c>
      <x:c r="D85" s="84">
        <x:v>2027.0</x:v>
      </x:c>
      <x:c r="E85" s="84" t="s">
        <x:v>111</x:v>
      </x:c>
      <x:c r="F85" s="84" t="s">
        <x:v>148</x:v>
      </x:c>
      <x:c r="G85" s="84" t="s">
        <x:v>183</x:v>
      </x:c>
      <x:c r="H85" s="84" t="s">
        <x:v>112</x:v>
      </x:c>
      <x:c r="I85" s="84"/>
      <x:c r="J85" s="84" t="s">
        <x:v>19</x:v>
      </x:c>
      <x:c r="K85" s="131" t="s">
        <x:v>20</x:v>
      </x:c>
      <x:c r="L85" s="84" t="s">
        <x:v>179</x:v>
      </x:c>
      <x:c r="M85" s="85" t="s">
        <x:v>180</x:v>
      </x:c>
    </x:row>
    <x:row r="86" ht="36" customHeight="1">
      <x:c r="A86" s="83" t="n">
        <x:v>85</x:v>
      </x:c>
      <x:c r="B86" s="101">
        <x:v>46388.0</x:v>
      </x:c>
      <x:c r="C86" s="84" t="s">
        <x:v>177</x:v>
      </x:c>
      <x:c r="D86" s="84">
        <x:v>2027.0</x:v>
      </x:c>
      <x:c r="E86" s="84" t="s">
        <x:v>111</x:v>
      </x:c>
      <x:c r="F86" s="84" t="s">
        <x:v>148</x:v>
      </x:c>
      <x:c r="G86" s="84" t="s">
        <x:v>184</x:v>
      </x:c>
      <x:c r="H86" s="84" t="s">
        <x:v>112</x:v>
      </x:c>
      <x:c r="I86" s="84"/>
      <x:c r="J86" s="84" t="s">
        <x:v>19</x:v>
      </x:c>
      <x:c r="K86" s="131" t="s">
        <x:v>20</x:v>
      </x:c>
      <x:c r="L86" s="84" t="s">
        <x:v>179</x:v>
      </x:c>
      <x:c r="M86" s="85" t="s">
        <x:v>180</x:v>
      </x:c>
    </x:row>
    <x:row r="87" ht="36" customHeight="1">
      <x:c r="A87" s="83" t="n">
        <x:v>86</x:v>
      </x:c>
      <x:c r="B87" s="101">
        <x:v>46388.0</x:v>
      </x:c>
      <x:c r="C87" s="84" t="s">
        <x:v>177</x:v>
      </x:c>
      <x:c r="D87" s="84">
        <x:v>2027.0</x:v>
      </x:c>
      <x:c r="E87" s="84" t="s">
        <x:v>111</x:v>
      </x:c>
      <x:c r="F87" s="84" t="s">
        <x:v>148</x:v>
      </x:c>
      <x:c r="G87" s="84" t="s">
        <x:v>185</x:v>
      </x:c>
      <x:c r="H87" s="84" t="s">
        <x:v>112</x:v>
      </x:c>
      <x:c r="I87" s="84"/>
      <x:c r="J87" s="84" t="s">
        <x:v>19</x:v>
      </x:c>
      <x:c r="K87" s="131" t="s">
        <x:v>20</x:v>
      </x:c>
      <x:c r="L87" s="84" t="s">
        <x:v>179</x:v>
      </x:c>
      <x:c r="M87" s="85" t="s">
        <x:v>180</x:v>
      </x:c>
    </x:row>
    <x:row r="88" ht="36" customHeight="1">
      <x:c r="A88" s="83" t="n">
        <x:v>87</x:v>
      </x:c>
      <x:c r="B88" s="101">
        <x:v>46388.0</x:v>
      </x:c>
      <x:c r="C88" s="84" t="s">
        <x:v>177</x:v>
      </x:c>
      <x:c r="D88" s="84">
        <x:v>2027.0</x:v>
      </x:c>
      <x:c r="E88" s="84" t="s">
        <x:v>111</x:v>
      </x:c>
      <x:c r="F88" s="84" t="s">
        <x:v>148</x:v>
      </x:c>
      <x:c r="G88" s="84" t="s">
        <x:v>186</x:v>
      </x:c>
      <x:c r="H88" s="84" t="s">
        <x:v>112</x:v>
      </x:c>
      <x:c r="I88" s="84"/>
      <x:c r="J88" s="84" t="s">
        <x:v>19</x:v>
      </x:c>
      <x:c r="K88" s="131" t="s">
        <x:v>20</x:v>
      </x:c>
      <x:c r="L88" s="84" t="s">
        <x:v>179</x:v>
      </x:c>
      <x:c r="M88" s="85" t="s">
        <x:v>180</x:v>
      </x:c>
    </x:row>
    <x:row r="89" ht="36" customHeight="1">
      <x:c r="A89" s="83" t="n">
        <x:v>88</x:v>
      </x:c>
      <x:c r="B89" s="101">
        <x:v>46388.0</x:v>
      </x:c>
      <x:c r="C89" s="84" t="s">
        <x:v>177</x:v>
      </x:c>
      <x:c r="D89" s="84">
        <x:v>2027.0</x:v>
      </x:c>
      <x:c r="E89" s="84" t="s">
        <x:v>111</x:v>
      </x:c>
      <x:c r="F89" s="84" t="s">
        <x:v>148</x:v>
      </x:c>
      <x:c r="G89" s="84" t="s">
        <x:v>187</x:v>
      </x:c>
      <x:c r="H89" s="84" t="s">
        <x:v>112</x:v>
      </x:c>
      <x:c r="I89" s="84"/>
      <x:c r="J89" s="84" t="s">
        <x:v>19</x:v>
      </x:c>
      <x:c r="K89" s="131" t="s">
        <x:v>20</x:v>
      </x:c>
      <x:c r="L89" s="84" t="s">
        <x:v>179</x:v>
      </x:c>
      <x:c r="M89" s="85" t="s">
        <x:v>180</x:v>
      </x:c>
    </x:row>
    <x:row r="90" ht="36" customHeight="1">
      <x:c r="A90" s="83" t="n">
        <x:v>89</x:v>
      </x:c>
      <x:c r="B90" s="101">
        <x:v>46388.0</x:v>
      </x:c>
      <x:c r="C90" s="84" t="s">
        <x:v>177</x:v>
      </x:c>
      <x:c r="D90" s="84">
        <x:v>2027.0</x:v>
      </x:c>
      <x:c r="E90" s="84" t="s">
        <x:v>111</x:v>
      </x:c>
      <x:c r="F90" s="84" t="s">
        <x:v>148</x:v>
      </x:c>
      <x:c r="G90" s="84" t="s">
        <x:v>188</x:v>
      </x:c>
      <x:c r="H90" s="84" t="s">
        <x:v>112</x:v>
      </x:c>
      <x:c r="I90" s="84"/>
      <x:c r="J90" s="84" t="s">
        <x:v>19</x:v>
      </x:c>
      <x:c r="K90" s="131" t="s">
        <x:v>20</x:v>
      </x:c>
      <x:c r="L90" s="84" t="s">
        <x:v>179</x:v>
      </x:c>
      <x:c r="M90" s="85" t="s">
        <x:v>180</x:v>
      </x:c>
    </x:row>
    <x:row r="91" ht="36" customHeight="1">
      <x:c r="A91" s="83" t="n">
        <x:v>90</x:v>
      </x:c>
      <x:c r="B91" s="101">
        <x:v>46388.0</x:v>
      </x:c>
      <x:c r="C91" s="84" t="s">
        <x:v>177</x:v>
      </x:c>
      <x:c r="D91" s="84">
        <x:v>2027.0</x:v>
      </x:c>
      <x:c r="E91" s="84" t="s">
        <x:v>111</x:v>
      </x:c>
      <x:c r="F91" s="84" t="s">
        <x:v>148</x:v>
      </x:c>
      <x:c r="G91" s="84" t="s">
        <x:v>189</x:v>
      </x:c>
      <x:c r="H91" s="84" t="s">
        <x:v>112</x:v>
      </x:c>
      <x:c r="I91" s="84"/>
      <x:c r="J91" s="84" t="s">
        <x:v>19</x:v>
      </x:c>
      <x:c r="K91" s="131" t="s">
        <x:v>20</x:v>
      </x:c>
      <x:c r="L91" s="84" t="s">
        <x:v>179</x:v>
      </x:c>
      <x:c r="M91" s="85" t="s">
        <x:v>180</x:v>
      </x:c>
    </x:row>
    <x:row r="92" ht="36" customHeight="1">
      <x:c r="A92" s="83" t="n">
        <x:v>91</x:v>
      </x:c>
      <x:c r="B92" s="101">
        <x:v>46388.0</x:v>
      </x:c>
      <x:c r="C92" s="84" t="s">
        <x:v>177</x:v>
      </x:c>
      <x:c r="D92" s="84">
        <x:v>2027.0</x:v>
      </x:c>
      <x:c r="E92" s="84" t="s">
        <x:v>48</x:v>
      </x:c>
      <x:c r="F92" s="84" t="s">
        <x:v>68</x:v>
      </x:c>
      <x:c r="G92" s="84" t="s">
        <x:v>190</x:v>
      </x:c>
      <x:c r="H92" s="84" t="s">
        <x:v>191</x:v>
      </x:c>
      <x:c r="I92" s="84"/>
      <x:c r="J92" s="84" t="s">
        <x:v>19</x:v>
      </x:c>
      <x:c r="K92" s="84" t="s">
        <x:v>76</x:v>
      </x:c>
      <x:c r="L92" s="84" t="s">
        <x:v>192</x:v>
      </x:c>
      <x:c r="M92" s="85"/>
    </x:row>
    <x:row r="93" ht="36" customHeight="1">
      <x:c r="A93" s="83" t="n">
        <x:v>92</x:v>
      </x:c>
      <x:c r="B93" s="101">
        <x:v>46388.0</x:v>
      </x:c>
      <x:c r="C93" s="84" t="s">
        <x:v>177</x:v>
      </x:c>
      <x:c r="D93" s="84">
        <x:v>2027.0</x:v>
      </x:c>
      <x:c r="E93" s="84" t="s">
        <x:v>48</x:v>
      </x:c>
      <x:c r="F93" s="84" t="s">
        <x:v>68</x:v>
      </x:c>
      <x:c r="G93" s="84" t="s">
        <x:v>193</x:v>
      </x:c>
      <x:c r="H93" s="84" t="s">
        <x:v>191</x:v>
      </x:c>
      <x:c r="I93" s="84"/>
      <x:c r="J93" s="84" t="s">
        <x:v>19</x:v>
      </x:c>
      <x:c r="K93" s="84" t="s">
        <x:v>76</x:v>
      </x:c>
      <x:c r="L93" s="84" t="s">
        <x:v>192</x:v>
      </x:c>
      <x:c r="M93" s="85"/>
    </x:row>
    <x:row r="94" ht="36" customHeight="1">
      <x:c r="A94" s="83" t="n">
        <x:v>93</x:v>
      </x:c>
      <x:c r="B94" s="101">
        <x:v>46419.0</x:v>
      </x:c>
      <x:c r="C94" s="84" t="s">
        <x:v>194</x:v>
      </x:c>
      <x:c r="D94" s="84">
        <x:v>2027.0</x:v>
      </x:c>
      <x:c r="E94" s="84" t="s">
        <x:v>111</x:v>
      </x:c>
      <x:c r="F94" s="84" t="s">
        <x:v>195</x:v>
      </x:c>
      <x:c r="G94" s="84" t="s">
        <x:v>196</x:v>
      </x:c>
      <x:c r="H94" s="84" t="s">
        <x:v>197</x:v>
      </x:c>
      <x:c r="I94" s="84"/>
      <x:c r="J94" s="84" t="s">
        <x:v>19</x:v>
      </x:c>
      <x:c r="K94" s="84" t="s">
        <x:v>27</x:v>
      </x:c>
      <x:c r="L94" s="84" t="s">
        <x:v>198</x:v>
      </x:c>
      <x:c r="M94" s="85"/>
    </x:row>
    <x:row r="95" ht="36" customHeight="1">
      <x:c r="A95" s="83" t="n">
        <x:v>94</x:v>
      </x:c>
      <x:c r="B95" s="101">
        <x:v>46419.0</x:v>
      </x:c>
      <x:c r="C95" s="84" t="s">
        <x:v>194</x:v>
      </x:c>
      <x:c r="D95" s="84">
        <x:v>2027.0</x:v>
      </x:c>
      <x:c r="E95" s="84" t="s">
        <x:v>111</x:v>
      </x:c>
      <x:c r="F95" s="84" t="s">
        <x:v>195</x:v>
      </x:c>
      <x:c r="G95" s="84" t="s">
        <x:v>199</x:v>
      </x:c>
      <x:c r="H95" s="84" t="s">
        <x:v>197</x:v>
      </x:c>
      <x:c r="I95" s="84"/>
      <x:c r="J95" s="84" t="s">
        <x:v>19</x:v>
      </x:c>
      <x:c r="K95" s="84" t="s">
        <x:v>27</x:v>
      </x:c>
      <x:c r="L95" s="84" t="s">
        <x:v>198</x:v>
      </x:c>
      <x:c r="M95" s="85"/>
    </x:row>
    <x:row r="96" ht="36" customHeight="1">
      <x:c r="A96" s="83" t="n">
        <x:v>95</x:v>
      </x:c>
      <x:c r="B96" s="101">
        <x:v>46419.0</x:v>
      </x:c>
      <x:c r="C96" s="84" t="s">
        <x:v>194</x:v>
      </x:c>
      <x:c r="D96" s="84">
        <x:v>2027.0</x:v>
      </x:c>
      <x:c r="E96" s="84" t="s">
        <x:v>111</x:v>
      </x:c>
      <x:c r="F96" s="84" t="s">
        <x:v>195</x:v>
      </x:c>
      <x:c r="G96" s="84" t="s">
        <x:v>200</x:v>
      </x:c>
      <x:c r="H96" s="84" t="s">
        <x:v>197</x:v>
      </x:c>
      <x:c r="I96" s="84"/>
      <x:c r="J96" s="84" t="s">
        <x:v>19</x:v>
      </x:c>
      <x:c r="K96" s="84" t="s">
        <x:v>27</x:v>
      </x:c>
      <x:c r="L96" s="84" t="s">
        <x:v>198</x:v>
      </x:c>
      <x:c r="M96" s="85"/>
    </x:row>
    <x:row r="97" ht="36" customHeight="1">
      <x:c r="A97" s="83" t="n">
        <x:v>96</x:v>
      </x:c>
      <x:c r="B97" s="101">
        <x:v>46419.0</x:v>
      </x:c>
      <x:c r="C97" s="84" t="s">
        <x:v>194</x:v>
      </x:c>
      <x:c r="D97" s="84">
        <x:v>2027.0</x:v>
      </x:c>
      <x:c r="E97" s="84" t="s">
        <x:v>111</x:v>
      </x:c>
      <x:c r="F97" s="84" t="s">
        <x:v>195</x:v>
      </x:c>
      <x:c r="G97" s="84" t="s">
        <x:v>201</x:v>
      </x:c>
      <x:c r="H97" s="84" t="s">
        <x:v>197</x:v>
      </x:c>
      <x:c r="I97" s="84"/>
      <x:c r="J97" s="84" t="s">
        <x:v>19</x:v>
      </x:c>
      <x:c r="K97" s="84" t="s">
        <x:v>27</x:v>
      </x:c>
      <x:c r="L97" s="84" t="s">
        <x:v>198</x:v>
      </x:c>
      <x:c r="M97" s="85"/>
    </x:row>
    <x:row r="98" ht="36" customHeight="1">
      <x:c r="A98" s="83" t="n">
        <x:v>97</x:v>
      </x:c>
      <x:c r="B98" s="101">
        <x:v>46419.0</x:v>
      </x:c>
      <x:c r="C98" s="84" t="s">
        <x:v>194</x:v>
      </x:c>
      <x:c r="D98" s="84">
        <x:v>2027.0</x:v>
      </x:c>
      <x:c r="E98" s="84" t="s">
        <x:v>111</x:v>
      </x:c>
      <x:c r="F98" s="84" t="s">
        <x:v>195</x:v>
      </x:c>
      <x:c r="G98" s="84" t="s">
        <x:v>202</x:v>
      </x:c>
      <x:c r="H98" s="84" t="s">
        <x:v>197</x:v>
      </x:c>
      <x:c r="I98" s="84"/>
      <x:c r="J98" s="84" t="s">
        <x:v>19</x:v>
      </x:c>
      <x:c r="K98" s="84" t="s">
        <x:v>27</x:v>
      </x:c>
      <x:c r="L98" s="84" t="s">
        <x:v>198</x:v>
      </x:c>
      <x:c r="M98" s="85"/>
    </x:row>
    <x:row r="99" ht="36" customHeight="1">
      <x:c r="A99" s="83" t="n">
        <x:v>98</x:v>
      </x:c>
      <x:c r="B99" s="101">
        <x:v>46419.0</x:v>
      </x:c>
      <x:c r="C99" s="84" t="s">
        <x:v>194</x:v>
      </x:c>
      <x:c r="D99" s="84">
        <x:v>2027.0</x:v>
      </x:c>
      <x:c r="E99" s="84" t="s">
        <x:v>111</x:v>
      </x:c>
      <x:c r="F99" s="84" t="s">
        <x:v>195</x:v>
      </x:c>
      <x:c r="G99" s="84" t="s">
        <x:v>203</x:v>
      </x:c>
      <x:c r="H99" s="84" t="s">
        <x:v>197</x:v>
      </x:c>
      <x:c r="I99" s="84"/>
      <x:c r="J99" s="84" t="s">
        <x:v>19</x:v>
      </x:c>
      <x:c r="K99" s="84" t="s">
        <x:v>27</x:v>
      </x:c>
      <x:c r="L99" s="84" t="s">
        <x:v>198</x:v>
      </x:c>
      <x:c r="M99" s="85"/>
    </x:row>
    <x:row r="100" ht="36" customHeight="1">
      <x:c r="A100" s="83" t="n">
        <x:v>99</x:v>
      </x:c>
      <x:c r="B100" s="101">
        <x:v>46419.0</x:v>
      </x:c>
      <x:c r="C100" s="84" t="s">
        <x:v>194</x:v>
      </x:c>
      <x:c r="D100" s="84">
        <x:v>2027.0</x:v>
      </x:c>
      <x:c r="E100" s="84" t="s">
        <x:v>40</x:v>
      </x:c>
      <x:c r="F100" s="84" t="s">
        <x:v>40</x:v>
      </x:c>
      <x:c r="G100" s="84" t="s">
        <x:v>204</x:v>
      </x:c>
      <x:c r="H100" s="84" t="s">
        <x:v>17</x:v>
      </x:c>
      <x:c r="I100" s="84"/>
      <x:c r="J100" s="84" t="s">
        <x:v>19</x:v>
      </x:c>
      <x:c r="K100" s="84" t="s">
        <x:v>27</x:v>
      </x:c>
      <x:c r="L100" s="84" t="s">
        <x:v>205</x:v>
      </x:c>
      <x:c r="M100" s="85"/>
    </x:row>
    <x:row r="101" ht="36" customHeight="1">
      <x:c r="A101" s="83" t="n">
        <x:v>100</x:v>
      </x:c>
      <x:c r="B101" s="101">
        <x:v>46419.0</x:v>
      </x:c>
      <x:c r="C101" s="84" t="s">
        <x:v>194</x:v>
      </x:c>
      <x:c r="D101" s="84">
        <x:v>2027.0</x:v>
      </x:c>
      <x:c r="E101" s="84" t="s">
        <x:v>48</x:v>
      </x:c>
      <x:c r="F101" s="84" t="s">
        <x:v>68</x:v>
      </x:c>
      <x:c r="G101" s="84" t="s">
        <x:v>206</x:v>
      </x:c>
      <x:c r="H101" s="84" t="s">
        <x:v>207</x:v>
      </x:c>
      <x:c r="I101" s="84"/>
      <x:c r="J101" s="84" t="s">
        <x:v>19</x:v>
      </x:c>
      <x:c r="K101" s="84" t="s">
        <x:v>76</x:v>
      </x:c>
      <x:c r="L101" s="84" t="s">
        <x:v>208</x:v>
      </x:c>
      <x:c r="M101" s="85"/>
    </x:row>
    <x:row r="102" ht="36" customHeight="1">
      <x:c r="A102" s="83" t="n">
        <x:v>101</x:v>
      </x:c>
      <x:c r="B102" s="101">
        <x:v>46419.0</x:v>
      </x:c>
      <x:c r="C102" s="84" t="s">
        <x:v>194</x:v>
      </x:c>
      <x:c r="D102" s="84">
        <x:v>2027.0</x:v>
      </x:c>
      <x:c r="E102" s="84" t="s">
        <x:v>48</x:v>
      </x:c>
      <x:c r="F102" s="84" t="s">
        <x:v>68</x:v>
      </x:c>
      <x:c r="G102" s="84" t="s">
        <x:v>209</x:v>
      </x:c>
      <x:c r="H102" s="84" t="s">
        <x:v>207</x:v>
      </x:c>
      <x:c r="I102" s="84"/>
      <x:c r="J102" s="84" t="s">
        <x:v>19</x:v>
      </x:c>
      <x:c r="K102" s="84" t="s">
        <x:v>76</x:v>
      </x:c>
      <x:c r="L102" s="84" t="s">
        <x:v>208</x:v>
      </x:c>
      <x:c r="M102" s="85"/>
    </x:row>
    <x:row r="103" ht="36" customHeight="1">
      <x:c r="A103" s="83" t="n">
        <x:v>102</x:v>
      </x:c>
      <x:c r="B103" s="101">
        <x:v>46447.0</x:v>
      </x:c>
      <x:c r="C103" s="84" t="s">
        <x:v>210</x:v>
      </x:c>
      <x:c r="D103" s="84">
        <x:v>2027.0</x:v>
      </x:c>
      <x:c r="E103" s="84" t="s">
        <x:v>111</x:v>
      </x:c>
      <x:c r="F103" s="84" t="s">
        <x:v>195</x:v>
      </x:c>
      <x:c r="G103" s="84" t="s">
        <x:v>211</x:v>
      </x:c>
      <x:c r="H103" s="84" t="s">
        <x:v>112</x:v>
      </x:c>
      <x:c r="I103" s="84"/>
      <x:c r="J103" s="84" t="s">
        <x:v>19</x:v>
      </x:c>
      <x:c r="K103" s="84" t="s">
        <x:v>27</x:v>
      </x:c>
      <x:c r="L103" s="84" t="s">
        <x:v>212</x:v>
      </x:c>
      <x:c r="M103" s="85"/>
    </x:row>
    <x:row r="104" ht="36" customHeight="1">
      <x:c r="A104" s="83" t="n">
        <x:v>103</x:v>
      </x:c>
      <x:c r="B104" s="101">
        <x:v>46447.0</x:v>
      </x:c>
      <x:c r="C104" s="84" t="s">
        <x:v>210</x:v>
      </x:c>
      <x:c r="D104" s="84">
        <x:v>2027.0</x:v>
      </x:c>
      <x:c r="E104" s="84" t="s">
        <x:v>111</x:v>
      </x:c>
      <x:c r="F104" s="84" t="s">
        <x:v>213</x:v>
      </x:c>
      <x:c r="G104" s="84" t="s">
        <x:v>214</x:v>
      </x:c>
      <x:c r="H104" s="84" t="s">
        <x:v>215</x:v>
      </x:c>
      <x:c r="I104" s="84"/>
      <x:c r="J104" s="84" t="s">
        <x:v>19</x:v>
      </x:c>
      <x:c r="K104" s="84" t="s">
        <x:v>27</x:v>
      </x:c>
      <x:c r="L104" s="84" t="s">
        <x:v>216</x:v>
      </x:c>
      <x:c r="M104" s="85"/>
    </x:row>
    <x:row r="105" ht="36" customHeight="1">
      <x:c r="A105" s="83" t="n">
        <x:v>104</x:v>
      </x:c>
      <x:c r="B105" s="101">
        <x:v>46447.0</x:v>
      </x:c>
      <x:c r="C105" s="84" t="s">
        <x:v>210</x:v>
      </x:c>
      <x:c r="D105" s="84">
        <x:v>2027.0</x:v>
      </x:c>
      <x:c r="E105" s="84" t="s">
        <x:v>111</x:v>
      </x:c>
      <x:c r="F105" s="84" t="s">
        <x:v>213</x:v>
      </x:c>
      <x:c r="G105" s="84" t="s">
        <x:v>217</x:v>
      </x:c>
      <x:c r="H105" s="84" t="s">
        <x:v>215</x:v>
      </x:c>
      <x:c r="I105" s="84"/>
      <x:c r="J105" s="84" t="s">
        <x:v>19</x:v>
      </x:c>
      <x:c r="K105" s="84" t="s">
        <x:v>27</x:v>
      </x:c>
      <x:c r="L105" s="84" t="s">
        <x:v>216</x:v>
      </x:c>
      <x:c r="M105" s="85"/>
    </x:row>
    <x:row r="106" ht="36" customHeight="1">
      <x:c r="A106" s="83" t="n">
        <x:v>105</x:v>
      </x:c>
      <x:c r="B106" s="101">
        <x:v>46447.0</x:v>
      </x:c>
      <x:c r="C106" s="84" t="s">
        <x:v>210</x:v>
      </x:c>
      <x:c r="D106" s="84">
        <x:v>2027.0</x:v>
      </x:c>
      <x:c r="E106" s="84" t="s">
        <x:v>111</x:v>
      </x:c>
      <x:c r="F106" s="84" t="s">
        <x:v>213</x:v>
      </x:c>
      <x:c r="G106" s="84" t="s">
        <x:v>218</x:v>
      </x:c>
      <x:c r="H106" s="84" t="s">
        <x:v>215</x:v>
      </x:c>
      <x:c r="I106" s="84"/>
      <x:c r="J106" s="84" t="s">
        <x:v>19</x:v>
      </x:c>
      <x:c r="K106" s="84" t="s">
        <x:v>27</x:v>
      </x:c>
      <x:c r="L106" s="84" t="s">
        <x:v>216</x:v>
      </x:c>
      <x:c r="M106" s="85"/>
    </x:row>
    <x:row r="107" ht="36" customHeight="1">
      <x:c r="A107" s="83" t="n">
        <x:v>106</x:v>
      </x:c>
      <x:c r="B107" s="101">
        <x:v>46447.0</x:v>
      </x:c>
      <x:c r="C107" s="84" t="s">
        <x:v>210</x:v>
      </x:c>
      <x:c r="D107" s="84">
        <x:v>2027.0</x:v>
      </x:c>
      <x:c r="E107" s="84" t="s">
        <x:v>40</x:v>
      </x:c>
      <x:c r="F107" s="84" t="s">
        <x:v>40</x:v>
      </x:c>
      <x:c r="G107" s="84" t="s">
        <x:v>219</x:v>
      </x:c>
      <x:c r="H107" s="84" t="s">
        <x:v>220</x:v>
      </x:c>
      <x:c r="I107" s="84"/>
      <x:c r="J107" s="84" t="s">
        <x:v>19</x:v>
      </x:c>
      <x:c r="K107" s="84" t="s">
        <x:v>27</x:v>
      </x:c>
      <x:c r="L107" s="84" t="s">
        <x:v>221</x:v>
      </x:c>
      <x:c r="M107" s="85"/>
    </x:row>
    <x:row r="108" ht="36" customHeight="1">
      <x:c r="A108" s="83" t="n">
        <x:v>107</x:v>
      </x:c>
      <x:c r="B108" s="101">
        <x:v>46447.0</x:v>
      </x:c>
      <x:c r="C108" s="84" t="s">
        <x:v>210</x:v>
      </x:c>
      <x:c r="D108" s="84">
        <x:v>2027.0</x:v>
      </x:c>
      <x:c r="E108" s="84" t="s">
        <x:v>40</x:v>
      </x:c>
      <x:c r="F108" s="84" t="s">
        <x:v>40</x:v>
      </x:c>
      <x:c r="G108" s="84" t="s">
        <x:v>222</x:v>
      </x:c>
      <x:c r="H108" s="84" t="s">
        <x:v>220</x:v>
      </x:c>
      <x:c r="I108" s="84"/>
      <x:c r="J108" s="84" t="s">
        <x:v>19</x:v>
      </x:c>
      <x:c r="K108" s="84" t="s">
        <x:v>27</x:v>
      </x:c>
      <x:c r="L108" s="84" t="s">
        <x:v>221</x:v>
      </x:c>
      <x:c r="M108" s="85"/>
    </x:row>
    <x:row r="109" ht="36" customHeight="1">
      <x:c r="A109" s="83" t="n">
        <x:v>108</x:v>
      </x:c>
      <x:c r="B109" s="101">
        <x:v>46447.0</x:v>
      </x:c>
      <x:c r="C109" s="84" t="s">
        <x:v>210</x:v>
      </x:c>
      <x:c r="D109" s="84">
        <x:v>2027.0</x:v>
      </x:c>
      <x:c r="E109" s="84" t="s">
        <x:v>48</x:v>
      </x:c>
      <x:c r="F109" s="84" t="s">
        <x:v>68</x:v>
      </x:c>
      <x:c r="G109" s="84" t="s">
        <x:v>223</x:v>
      </x:c>
      <x:c r="H109" s="84" t="s">
        <x:v>48</x:v>
      </x:c>
      <x:c r="I109" s="84"/>
      <x:c r="J109" s="84" t="s">
        <x:v>19</x:v>
      </x:c>
      <x:c r="K109" s="84" t="s">
        <x:v>76</x:v>
      </x:c>
      <x:c r="L109" s="84" t="s">
        <x:v>224</x:v>
      </x:c>
      <x:c r="M109" s="85"/>
    </x:row>
    <x:row r="110" ht="36" customHeight="1">
      <x:c r="A110" s="83" t="n">
        <x:v>109</x:v>
      </x:c>
      <x:c r="B110" s="101">
        <x:v>46478.0</x:v>
      </x:c>
      <x:c r="C110" s="84" t="s">
        <x:v>225</x:v>
      </x:c>
      <x:c r="D110" s="84">
        <x:v>2027.0</x:v>
      </x:c>
      <x:c r="E110" s="84" t="s">
        <x:v>111</x:v>
      </x:c>
      <x:c r="F110" s="84" t="s">
        <x:v>213</x:v>
      </x:c>
      <x:c r="G110" s="84" t="s">
        <x:v>226</x:v>
      </x:c>
      <x:c r="H110" s="84" t="s">
        <x:v>112</x:v>
      </x:c>
      <x:c r="I110" s="84"/>
      <x:c r="J110" s="84" t="s">
        <x:v>19</x:v>
      </x:c>
      <x:c r="K110" s="84" t="s">
        <x:v>27</x:v>
      </x:c>
      <x:c r="L110" s="84" t="s">
        <x:v>227</x:v>
      </x:c>
      <x:c r="M110" s="85"/>
    </x:row>
    <x:row r="111" ht="36" customHeight="1">
      <x:c r="A111" s="83" t="n">
        <x:v>110</x:v>
      </x:c>
      <x:c r="B111" s="101">
        <x:v>46478.0</x:v>
      </x:c>
      <x:c r="C111" s="84" t="s">
        <x:v>225</x:v>
      </x:c>
      <x:c r="D111" s="84">
        <x:v>2027.0</x:v>
      </x:c>
      <x:c r="E111" s="84" t="s">
        <x:v>111</x:v>
      </x:c>
      <x:c r="F111" s="84" t="s">
        <x:v>213</x:v>
      </x:c>
      <x:c r="G111" s="84" t="s">
        <x:v>228</x:v>
      </x:c>
      <x:c r="H111" s="84" t="s">
        <x:v>112</x:v>
      </x:c>
      <x:c r="I111" s="84"/>
      <x:c r="J111" s="84" t="s">
        <x:v>19</x:v>
      </x:c>
      <x:c r="K111" s="84" t="s">
        <x:v>27</x:v>
      </x:c>
      <x:c r="L111" s="84" t="s">
        <x:v>227</x:v>
      </x:c>
      <x:c r="M111" s="85"/>
    </x:row>
    <x:row r="112" ht="36" customHeight="1">
      <x:c r="A112" s="83" t="n">
        <x:v>111</x:v>
      </x:c>
      <x:c r="B112" s="101">
        <x:v>46478.0</x:v>
      </x:c>
      <x:c r="C112" s="84" t="s">
        <x:v>225</x:v>
      </x:c>
      <x:c r="D112" s="84">
        <x:v>2027.0</x:v>
      </x:c>
      <x:c r="E112" s="84" t="s">
        <x:v>111</x:v>
      </x:c>
      <x:c r="F112" s="84" t="s">
        <x:v>213</x:v>
      </x:c>
      <x:c r="G112" s="84" t="s">
        <x:v>229</x:v>
      </x:c>
      <x:c r="H112" s="84" t="s">
        <x:v>112</x:v>
      </x:c>
      <x:c r="I112" s="84"/>
      <x:c r="J112" s="84" t="s">
        <x:v>19</x:v>
      </x:c>
      <x:c r="K112" s="84" t="s">
        <x:v>27</x:v>
      </x:c>
      <x:c r="L112" s="84" t="s">
        <x:v>227</x:v>
      </x:c>
      <x:c r="M112" s="85"/>
    </x:row>
    <x:row r="113" ht="36" customHeight="1">
      <x:c r="A113" s="83" t="n">
        <x:v>112</x:v>
      </x:c>
      <x:c r="B113" s="101">
        <x:v>46478.0</x:v>
      </x:c>
      <x:c r="C113" s="84" t="s">
        <x:v>225</x:v>
      </x:c>
      <x:c r="D113" s="84">
        <x:v>2027.0</x:v>
      </x:c>
      <x:c r="E113" s="84" t="s">
        <x:v>111</x:v>
      </x:c>
      <x:c r="F113" s="84" t="s">
        <x:v>230</x:v>
      </x:c>
      <x:c r="G113" s="84" t="s">
        <x:v>231</x:v>
      </x:c>
      <x:c r="H113" s="84" t="s">
        <x:v>150</x:v>
      </x:c>
      <x:c r="I113" s="84"/>
      <x:c r="J113" s="84" t="s">
        <x:v>19</x:v>
      </x:c>
      <x:c r="K113" s="84" t="s">
        <x:v>27</x:v>
      </x:c>
      <x:c r="L113" s="84" t="s">
        <x:v>232</x:v>
      </x:c>
      <x:c r="M113" s="85"/>
    </x:row>
    <x:row r="114" ht="36" customHeight="1">
      <x:c r="A114" s="83" t="n">
        <x:v>113</x:v>
      </x:c>
      <x:c r="B114" s="101">
        <x:v>46478.0</x:v>
      </x:c>
      <x:c r="C114" s="84" t="s">
        <x:v>225</x:v>
      </x:c>
      <x:c r="D114" s="84">
        <x:v>2027.0</x:v>
      </x:c>
      <x:c r="E114" s="84" t="s">
        <x:v>40</x:v>
      </x:c>
      <x:c r="F114" s="84" t="s">
        <x:v>40</x:v>
      </x:c>
      <x:c r="G114" s="84" t="s">
        <x:v>233</x:v>
      </x:c>
      <x:c r="H114" s="84" t="s">
        <x:v>220</x:v>
      </x:c>
      <x:c r="I114" s="84"/>
      <x:c r="J114" s="84" t="s">
        <x:v>19</x:v>
      </x:c>
      <x:c r="K114" s="84" t="s">
        <x:v>27</x:v>
      </x:c>
      <x:c r="L114" s="84" t="s">
        <x:v>234</x:v>
      </x:c>
      <x:c r="M114" s="85"/>
    </x:row>
    <x:row r="115" ht="36" customHeight="1">
      <x:c r="A115" s="83" t="n">
        <x:v>114</x:v>
      </x:c>
      <x:c r="B115" s="101">
        <x:v>46478.0</x:v>
      </x:c>
      <x:c r="C115" s="84" t="s">
        <x:v>225</x:v>
      </x:c>
      <x:c r="D115" s="84">
        <x:v>2027.0</x:v>
      </x:c>
      <x:c r="E115" s="84" t="s">
        <x:v>48</x:v>
      </x:c>
      <x:c r="F115" s="84" t="s">
        <x:v>68</x:v>
      </x:c>
      <x:c r="G115" s="84" t="s">
        <x:v>235</x:v>
      </x:c>
      <x:c r="H115" s="84" t="s">
        <x:v>144</x:v>
      </x:c>
      <x:c r="I115" s="84"/>
      <x:c r="J115" s="84" t="s">
        <x:v>19</x:v>
      </x:c>
      <x:c r="K115" s="84" t="s">
        <x:v>76</x:v>
      </x:c>
      <x:c r="L115" s="84" t="s">
        <x:v>236</x:v>
      </x:c>
      <x:c r="M115" s="85"/>
    </x:row>
    <x:row r="116" ht="36" customHeight="1">
      <x:c r="A116" s="83" t="n">
        <x:v>115</x:v>
      </x:c>
      <x:c r="B116" s="101">
        <x:v>46478.0</x:v>
      </x:c>
      <x:c r="C116" s="84" t="s">
        <x:v>225</x:v>
      </x:c>
      <x:c r="D116" s="84">
        <x:v>2027.0</x:v>
      </x:c>
      <x:c r="E116" s="84" t="s">
        <x:v>48</x:v>
      </x:c>
      <x:c r="F116" s="84" t="s">
        <x:v>68</x:v>
      </x:c>
      <x:c r="G116" s="84" t="s">
        <x:v>237</x:v>
      </x:c>
      <x:c r="H116" s="84" t="s">
        <x:v>144</x:v>
      </x:c>
      <x:c r="I116" s="84"/>
      <x:c r="J116" s="84" t="s">
        <x:v>19</x:v>
      </x:c>
      <x:c r="K116" s="84" t="s">
        <x:v>76</x:v>
      </x:c>
      <x:c r="L116" s="84" t="s">
        <x:v>236</x:v>
      </x:c>
      <x:c r="M116" s="85"/>
    </x:row>
    <x:row r="117" ht="36" customHeight="1">
      <x:c r="A117" s="83" t="n">
        <x:v>116</x:v>
      </x:c>
      <x:c r="B117" s="101">
        <x:v>46478.0</x:v>
      </x:c>
      <x:c r="C117" s="84" t="s">
        <x:v>225</x:v>
      </x:c>
      <x:c r="D117" s="84">
        <x:v>2027.0</x:v>
      </x:c>
      <x:c r="E117" s="84" t="s">
        <x:v>48</x:v>
      </x:c>
      <x:c r="F117" s="84" t="s">
        <x:v>68</x:v>
      </x:c>
      <x:c r="G117" s="84" t="s">
        <x:v>238</x:v>
      </x:c>
      <x:c r="H117" s="84" t="s">
        <x:v>144</x:v>
      </x:c>
      <x:c r="I117" s="84"/>
      <x:c r="J117" s="84" t="s">
        <x:v>19</x:v>
      </x:c>
      <x:c r="K117" s="84" t="s">
        <x:v>76</x:v>
      </x:c>
      <x:c r="L117" s="84" t="s">
        <x:v>236</x:v>
      </x:c>
      <x:c r="M117" s="85"/>
    </x:row>
    <x:row r="118" ht="36" customHeight="1">
      <x:c r="A118" s="83" t="n">
        <x:v>117</x:v>
      </x:c>
      <x:c r="B118" s="101">
        <x:v>46478.0</x:v>
      </x:c>
      <x:c r="C118" s="84" t="s">
        <x:v>225</x:v>
      </x:c>
      <x:c r="D118" s="84">
        <x:v>2027.0</x:v>
      </x:c>
      <x:c r="E118" s="84" t="s">
        <x:v>48</x:v>
      </x:c>
      <x:c r="F118" s="84" t="s">
        <x:v>68</x:v>
      </x:c>
      <x:c r="G118" s="84" t="s">
        <x:v>239</x:v>
      </x:c>
      <x:c r="H118" s="84" t="s">
        <x:v>144</x:v>
      </x:c>
      <x:c r="I118" s="84"/>
      <x:c r="J118" s="84" t="s">
        <x:v>19</x:v>
      </x:c>
      <x:c r="K118" s="84" t="s">
        <x:v>76</x:v>
      </x:c>
      <x:c r="L118" s="84" t="s">
        <x:v>236</x:v>
      </x:c>
      <x:c r="M118" s="85"/>
    </x:row>
    <x:row r="119" ht="36" customHeight="1">
      <x:c r="A119" s="83" t="n">
        <x:v>118</x:v>
      </x:c>
      <x:c r="B119" s="101">
        <x:v>46478.0</x:v>
      </x:c>
      <x:c r="C119" s="84" t="s">
        <x:v>225</x:v>
      </x:c>
      <x:c r="D119" s="84">
        <x:v>2027.0</x:v>
      </x:c>
      <x:c r="E119" s="84" t="s">
        <x:v>48</x:v>
      </x:c>
      <x:c r="F119" s="84" t="s">
        <x:v>68</x:v>
      </x:c>
      <x:c r="G119" s="84" t="s">
        <x:v>240</x:v>
      </x:c>
      <x:c r="H119" s="84" t="s">
        <x:v>144</x:v>
      </x:c>
      <x:c r="I119" s="84"/>
      <x:c r="J119" s="84" t="s">
        <x:v>19</x:v>
      </x:c>
      <x:c r="K119" s="84" t="s">
        <x:v>76</x:v>
      </x:c>
      <x:c r="L119" s="84" t="s">
        <x:v>236</x:v>
      </x:c>
      <x:c r="M119" s="85"/>
    </x:row>
    <x:row r="120" ht="36" customHeight="1">
      <x:c r="A120" s="83" t="n">
        <x:v>119</x:v>
      </x:c>
      <x:c r="B120" s="101">
        <x:v>46508.0</x:v>
      </x:c>
      <x:c r="C120" s="84" t="s">
        <x:v>13</x:v>
      </x:c>
      <x:c r="D120" s="84">
        <x:v>2027.0</x:v>
      </x:c>
      <x:c r="E120" s="84" t="s">
        <x:v>111</x:v>
      </x:c>
      <x:c r="F120" s="84" t="s">
        <x:v>213</x:v>
      </x:c>
      <x:c r="G120" s="84" t="s">
        <x:v>241</x:v>
      </x:c>
      <x:c r="H120" s="84" t="s">
        <x:v>197</x:v>
      </x:c>
      <x:c r="I120" s="84"/>
      <x:c r="J120" s="84" t="s">
        <x:v>19</x:v>
      </x:c>
      <x:c r="K120" s="84" t="s">
        <x:v>27</x:v>
      </x:c>
      <x:c r="L120" s="84" t="s">
        <x:v>242</x:v>
      </x:c>
      <x:c r="M120" s="85"/>
    </x:row>
    <x:row r="121" ht="36" customHeight="1">
      <x:c r="A121" s="83" t="n">
        <x:v>120</x:v>
      </x:c>
      <x:c r="B121" s="101">
        <x:v>46508.0</x:v>
      </x:c>
      <x:c r="C121" s="84" t="s">
        <x:v>13</x:v>
      </x:c>
      <x:c r="D121" s="84">
        <x:v>2027.0</x:v>
      </x:c>
      <x:c r="E121" s="84" t="s">
        <x:v>111</x:v>
      </x:c>
      <x:c r="F121" s="84" t="s">
        <x:v>213</x:v>
      </x:c>
      <x:c r="G121" s="84" t="s">
        <x:v>243</x:v>
      </x:c>
      <x:c r="H121" s="84" t="s">
        <x:v>197</x:v>
      </x:c>
      <x:c r="I121" s="84"/>
      <x:c r="J121" s="84" t="s">
        <x:v>19</x:v>
      </x:c>
      <x:c r="K121" s="84" t="s">
        <x:v>27</x:v>
      </x:c>
      <x:c r="L121" s="84" t="s">
        <x:v>242</x:v>
      </x:c>
      <x:c r="M121" s="85"/>
    </x:row>
    <x:row r="122" ht="36" customHeight="1">
      <x:c r="A122" s="83" t="n">
        <x:v>121</x:v>
      </x:c>
      <x:c r="B122" s="101">
        <x:v>46508.0</x:v>
      </x:c>
      <x:c r="C122" s="84" t="s">
        <x:v>13</x:v>
      </x:c>
      <x:c r="D122" s="84">
        <x:v>2027.0</x:v>
      </x:c>
      <x:c r="E122" s="84" t="s">
        <x:v>111</x:v>
      </x:c>
      <x:c r="F122" s="84" t="s">
        <x:v>213</x:v>
      </x:c>
      <x:c r="G122" s="84" t="s">
        <x:v>244</x:v>
      </x:c>
      <x:c r="H122" s="84" t="s">
        <x:v>197</x:v>
      </x:c>
      <x:c r="I122" s="84"/>
      <x:c r="J122" s="84" t="s">
        <x:v>19</x:v>
      </x:c>
      <x:c r="K122" s="84" t="s">
        <x:v>27</x:v>
      </x:c>
      <x:c r="L122" s="84" t="s">
        <x:v>242</x:v>
      </x:c>
      <x:c r="M122" s="85"/>
    </x:row>
    <x:row r="123" ht="36" customHeight="1">
      <x:c r="A123" s="83" t="n">
        <x:v>122</x:v>
      </x:c>
      <x:c r="B123" s="101">
        <x:v>46508.0</x:v>
      </x:c>
      <x:c r="C123" s="84" t="s">
        <x:v>13</x:v>
      </x:c>
      <x:c r="D123" s="84">
        <x:v>2027.0</x:v>
      </x:c>
      <x:c r="E123" s="84" t="s">
        <x:v>111</x:v>
      </x:c>
      <x:c r="F123" s="84" t="s">
        <x:v>213</x:v>
      </x:c>
      <x:c r="G123" s="84" t="s">
        <x:v>245</x:v>
      </x:c>
      <x:c r="H123" s="84" t="s">
        <x:v>197</x:v>
      </x:c>
      <x:c r="I123" s="84"/>
      <x:c r="J123" s="84" t="s">
        <x:v>19</x:v>
      </x:c>
      <x:c r="K123" s="84" t="s">
        <x:v>27</x:v>
      </x:c>
      <x:c r="L123" s="84" t="s">
        <x:v>242</x:v>
      </x:c>
      <x:c r="M123" s="85"/>
    </x:row>
    <x:row r="124" ht="36" customHeight="1">
      <x:c r="A124" s="83" t="n">
        <x:v>123</x:v>
      </x:c>
      <x:c r="B124" s="101">
        <x:v>46508.0</x:v>
      </x:c>
      <x:c r="C124" s="84" t="s">
        <x:v>13</x:v>
      </x:c>
      <x:c r="D124" s="84">
        <x:v>2027.0</x:v>
      </x:c>
      <x:c r="E124" s="84" t="s">
        <x:v>111</x:v>
      </x:c>
      <x:c r="F124" s="84" t="s">
        <x:v>213</x:v>
      </x:c>
      <x:c r="G124" s="84" t="s">
        <x:v>246</x:v>
      </x:c>
      <x:c r="H124" s="84" t="s">
        <x:v>197</x:v>
      </x:c>
      <x:c r="I124" s="84"/>
      <x:c r="J124" s="84" t="s">
        <x:v>19</x:v>
      </x:c>
      <x:c r="K124" s="84" t="s">
        <x:v>27</x:v>
      </x:c>
      <x:c r="L124" s="84" t="s">
        <x:v>242</x:v>
      </x:c>
      <x:c r="M124" s="85"/>
    </x:row>
    <x:row r="125" ht="36" customHeight="1">
      <x:c r="A125" s="83" t="n">
        <x:v>124</x:v>
      </x:c>
      <x:c r="B125" s="101">
        <x:v>46508.0</x:v>
      </x:c>
      <x:c r="C125" s="84" t="s">
        <x:v>13</x:v>
      </x:c>
      <x:c r="D125" s="84">
        <x:v>2027.0</x:v>
      </x:c>
      <x:c r="E125" s="84" t="s">
        <x:v>111</x:v>
      </x:c>
      <x:c r="F125" s="84" t="s">
        <x:v>213</x:v>
      </x:c>
      <x:c r="G125" s="84" t="s">
        <x:v>247</x:v>
      </x:c>
      <x:c r="H125" s="84" t="s">
        <x:v>197</x:v>
      </x:c>
      <x:c r="I125" s="84"/>
      <x:c r="J125" s="84" t="s">
        <x:v>19</x:v>
      </x:c>
      <x:c r="K125" s="84" t="s">
        <x:v>27</x:v>
      </x:c>
      <x:c r="L125" s="84" t="s">
        <x:v>242</x:v>
      </x:c>
      <x:c r="M125" s="85"/>
    </x:row>
    <x:row r="126" ht="36" customHeight="1">
      <x:c r="A126" s="83" t="n">
        <x:v>125</x:v>
      </x:c>
      <x:c r="B126" s="101">
        <x:v>46508.0</x:v>
      </x:c>
      <x:c r="C126" s="84" t="s">
        <x:v>13</x:v>
      </x:c>
      <x:c r="D126" s="84">
        <x:v>2027.0</x:v>
      </x:c>
      <x:c r="E126" s="84" t="s">
        <x:v>40</x:v>
      </x:c>
      <x:c r="F126" s="84" t="s">
        <x:v>40</x:v>
      </x:c>
      <x:c r="G126" s="84" t="s">
        <x:v>248</x:v>
      </x:c>
      <x:c r="H126" s="84" t="s">
        <x:v>220</x:v>
      </x:c>
      <x:c r="I126" s="84"/>
      <x:c r="J126" s="84" t="s">
        <x:v>19</x:v>
      </x:c>
      <x:c r="K126" s="84" t="s">
        <x:v>27</x:v>
      </x:c>
      <x:c r="L126" s="84" t="s">
        <x:v>249</x:v>
      </x:c>
      <x:c r="M126" s="85"/>
    </x:row>
    <x:row r="127" ht="36" customHeight="1">
      <x:c r="A127" s="83" t="n">
        <x:v>126</x:v>
      </x:c>
      <x:c r="B127" s="101">
        <x:v>46508.0</x:v>
      </x:c>
      <x:c r="C127" s="84" t="s">
        <x:v>13</x:v>
      </x:c>
      <x:c r="D127" s="84">
        <x:v>2027.0</x:v>
      </x:c>
      <x:c r="E127" s="84" t="s">
        <x:v>48</x:v>
      </x:c>
      <x:c r="F127" s="84" t="s">
        <x:v>68</x:v>
      </x:c>
      <x:c r="G127" s="84" t="s">
        <x:v>143</x:v>
      </x:c>
      <x:c r="H127" s="84" t="s">
        <x:v>48</x:v>
      </x:c>
      <x:c r="I127" s="84"/>
      <x:c r="J127" s="84" t="s">
        <x:v>19</x:v>
      </x:c>
      <x:c r="K127" s="84" t="s">
        <x:v>76</x:v>
      </x:c>
      <x:c r="L127" s="84" t="s">
        <x:v>250</x:v>
      </x:c>
      <x:c r="M127" s="85"/>
    </x:row>
    <x:row r="128" ht="36" customHeight="1">
      <x:c r="A128" s="83" t="n">
        <x:v>127</x:v>
      </x:c>
      <x:c r="B128" s="101">
        <x:v>46508.0</x:v>
      </x:c>
      <x:c r="C128" s="84" t="s">
        <x:v>13</x:v>
      </x:c>
      <x:c r="D128" s="84">
        <x:v>2027.0</x:v>
      </x:c>
      <x:c r="E128" s="84" t="s">
        <x:v>48</x:v>
      </x:c>
      <x:c r="F128" s="84" t="s">
        <x:v>68</x:v>
      </x:c>
      <x:c r="G128" s="84" t="s">
        <x:v>251</x:v>
      </x:c>
      <x:c r="H128" s="84" t="s">
        <x:v>48</x:v>
      </x:c>
      <x:c r="I128" s="84"/>
      <x:c r="J128" s="84" t="s">
        <x:v>19</x:v>
      </x:c>
      <x:c r="K128" s="84" t="s">
        <x:v>76</x:v>
      </x:c>
      <x:c r="L128" s="84" t="s">
        <x:v>250</x:v>
      </x:c>
      <x:c r="M128" s="85"/>
    </x:row>
    <x:row r="129" ht="36" customHeight="1">
      <x:c r="A129" s="83" t="n">
        <x:v>128</x:v>
      </x:c>
      <x:c r="B129" s="101">
        <x:v>46539.0</x:v>
      </x:c>
      <x:c r="C129" s="84" t="s">
        <x:v>36</x:v>
      </x:c>
      <x:c r="D129" s="84">
        <x:v>2027.0</x:v>
      </x:c>
      <x:c r="E129" s="84" t="s">
        <x:v>111</x:v>
      </x:c>
      <x:c r="F129" s="84" t="s">
        <x:v>213</x:v>
      </x:c>
      <x:c r="G129" s="84" t="s">
        <x:v>252</x:v>
      </x:c>
      <x:c r="H129" s="84" t="s">
        <x:v>112</x:v>
      </x:c>
      <x:c r="I129" s="84"/>
      <x:c r="J129" s="84" t="s">
        <x:v>19</x:v>
      </x:c>
      <x:c r="K129" s="84" t="s">
        <x:v>27</x:v>
      </x:c>
      <x:c r="L129" s="84" t="s">
        <x:v>253</x:v>
      </x:c>
      <x:c r="M129" s="85"/>
    </x:row>
    <x:row r="130" ht="36" customHeight="1">
      <x:c r="A130" s="83" t="n">
        <x:v>129</x:v>
      </x:c>
      <x:c r="B130" s="101">
        <x:v>46539.0</x:v>
      </x:c>
      <x:c r="C130" s="84" t="s">
        <x:v>36</x:v>
      </x:c>
      <x:c r="D130" s="84">
        <x:v>2027.0</x:v>
      </x:c>
      <x:c r="E130" s="84" t="s">
        <x:v>111</x:v>
      </x:c>
      <x:c r="F130" s="84" t="s">
        <x:v>213</x:v>
      </x:c>
      <x:c r="G130" s="84" t="s">
        <x:v>254</x:v>
      </x:c>
      <x:c r="H130" s="84" t="s">
        <x:v>112</x:v>
      </x:c>
      <x:c r="I130" s="84"/>
      <x:c r="J130" s="84" t="s">
        <x:v>19</x:v>
      </x:c>
      <x:c r="K130" s="84" t="s">
        <x:v>27</x:v>
      </x:c>
      <x:c r="L130" s="84" t="s">
        <x:v>253</x:v>
      </x:c>
      <x:c r="M130" s="85"/>
    </x:row>
    <x:row r="131" ht="36" customHeight="1">
      <x:c r="A131" s="83" t="n">
        <x:v>130</x:v>
      </x:c>
      <x:c r="B131" s="101">
        <x:v>46539.0</x:v>
      </x:c>
      <x:c r="C131" s="84" t="s">
        <x:v>36</x:v>
      </x:c>
      <x:c r="D131" s="84">
        <x:v>2027.0</x:v>
      </x:c>
      <x:c r="E131" s="84" t="s">
        <x:v>111</x:v>
      </x:c>
      <x:c r="F131" s="84" t="s">
        <x:v>230</x:v>
      </x:c>
      <x:c r="G131" s="84" t="s">
        <x:v>255</x:v>
      </x:c>
      <x:c r="H131" s="84" t="s">
        <x:v>256</x:v>
      </x:c>
      <x:c r="I131" s="84"/>
      <x:c r="J131" s="84" t="s">
        <x:v>19</x:v>
      </x:c>
      <x:c r="K131" s="84" t="s">
        <x:v>27</x:v>
      </x:c>
      <x:c r="L131" s="84" t="s">
        <x:v>257</x:v>
      </x:c>
      <x:c r="M131" s="85"/>
    </x:row>
    <x:row r="132" ht="36" customHeight="1">
      <x:c r="A132" s="83" t="n">
        <x:v>131</x:v>
      </x:c>
      <x:c r="B132" s="101">
        <x:v>46539.0</x:v>
      </x:c>
      <x:c r="C132" s="84" t="s">
        <x:v>36</x:v>
      </x:c>
      <x:c r="D132" s="84">
        <x:v>2027.0</x:v>
      </x:c>
      <x:c r="E132" s="84" t="s">
        <x:v>111</x:v>
      </x:c>
      <x:c r="F132" s="84" t="s">
        <x:v>230</x:v>
      </x:c>
      <x:c r="G132" s="84" t="s">
        <x:v>258</x:v>
      </x:c>
      <x:c r="H132" s="84" t="s">
        <x:v>256</x:v>
      </x:c>
      <x:c r="I132" s="84"/>
      <x:c r="J132" s="84" t="s">
        <x:v>19</x:v>
      </x:c>
      <x:c r="K132" s="84" t="s">
        <x:v>27</x:v>
      </x:c>
      <x:c r="L132" s="84" t="s">
        <x:v>257</x:v>
      </x:c>
      <x:c r="M132" s="85"/>
    </x:row>
    <x:row r="133" ht="36" customHeight="1">
      <x:c r="A133" s="83" t="n">
        <x:v>132</x:v>
      </x:c>
      <x:c r="B133" s="101">
        <x:v>46539.0</x:v>
      </x:c>
      <x:c r="C133" s="84" t="s">
        <x:v>36</x:v>
      </x:c>
      <x:c r="D133" s="84">
        <x:v>2027.0</x:v>
      </x:c>
      <x:c r="E133" s="84" t="s">
        <x:v>111</x:v>
      </x:c>
      <x:c r="F133" s="84" t="s">
        <x:v>230</x:v>
      </x:c>
      <x:c r="G133" s="84" t="s">
        <x:v>259</x:v>
      </x:c>
      <x:c r="H133" s="84" t="s">
        <x:v>256</x:v>
      </x:c>
      <x:c r="I133" s="84"/>
      <x:c r="J133" s="84" t="s">
        <x:v>19</x:v>
      </x:c>
      <x:c r="K133" s="84" t="s">
        <x:v>27</x:v>
      </x:c>
      <x:c r="L133" s="84" t="s">
        <x:v>257</x:v>
      </x:c>
      <x:c r="M133" s="85"/>
    </x:row>
    <x:row r="134" ht="36" customHeight="1">
      <x:c r="A134" s="83" t="n">
        <x:v>133</x:v>
      </x:c>
      <x:c r="B134" s="101">
        <x:v>46539.0</x:v>
      </x:c>
      <x:c r="C134" s="84" t="s">
        <x:v>36</x:v>
      </x:c>
      <x:c r="D134" s="84">
        <x:v>2027.0</x:v>
      </x:c>
      <x:c r="E134" s="84" t="s">
        <x:v>111</x:v>
      </x:c>
      <x:c r="F134" s="84" t="s">
        <x:v>230</x:v>
      </x:c>
      <x:c r="G134" s="84" t="s">
        <x:v>260</x:v>
      </x:c>
      <x:c r="H134" s="84" t="s">
        <x:v>256</x:v>
      </x:c>
      <x:c r="I134" s="84"/>
      <x:c r="J134" s="84" t="s">
        <x:v>19</x:v>
      </x:c>
      <x:c r="K134" s="84" t="s">
        <x:v>27</x:v>
      </x:c>
      <x:c r="L134" s="84" t="s">
        <x:v>257</x:v>
      </x:c>
      <x:c r="M134" s="85"/>
    </x:row>
    <x:row r="135" ht="36" customHeight="1">
      <x:c r="A135" s="83" t="n">
        <x:v>134</x:v>
      </x:c>
      <x:c r="B135" s="101">
        <x:v>46539.0</x:v>
      </x:c>
      <x:c r="C135" s="84" t="s">
        <x:v>36</x:v>
      </x:c>
      <x:c r="D135" s="84">
        <x:v>2027.0</x:v>
      </x:c>
      <x:c r="E135" s="84" t="s">
        <x:v>111</x:v>
      </x:c>
      <x:c r="F135" s="84" t="s">
        <x:v>230</x:v>
      </x:c>
      <x:c r="G135" s="84" t="s">
        <x:v>261</x:v>
      </x:c>
      <x:c r="H135" s="84" t="s">
        <x:v>256</x:v>
      </x:c>
      <x:c r="I135" s="84"/>
      <x:c r="J135" s="84" t="s">
        <x:v>19</x:v>
      </x:c>
      <x:c r="K135" s="84" t="s">
        <x:v>27</x:v>
      </x:c>
      <x:c r="L135" s="84" t="s">
        <x:v>257</x:v>
      </x:c>
      <x:c r="M135" s="85"/>
    </x:row>
    <x:row r="136" ht="36" customHeight="1">
      <x:c r="A136" s="83" t="n">
        <x:v>135</x:v>
      </x:c>
      <x:c r="B136" s="101">
        <x:v>46539.0</x:v>
      </x:c>
      <x:c r="C136" s="84" t="s">
        <x:v>36</x:v>
      </x:c>
      <x:c r="D136" s="84">
        <x:v>2027.0</x:v>
      </x:c>
      <x:c r="E136" s="84" t="s">
        <x:v>111</x:v>
      </x:c>
      <x:c r="F136" s="84" t="s">
        <x:v>230</x:v>
      </x:c>
      <x:c r="G136" s="84" t="s">
        <x:v>262</x:v>
      </x:c>
      <x:c r="H136" s="84" t="s">
        <x:v>256</x:v>
      </x:c>
      <x:c r="I136" s="84"/>
      <x:c r="J136" s="84" t="s">
        <x:v>19</x:v>
      </x:c>
      <x:c r="K136" s="84" t="s">
        <x:v>27</x:v>
      </x:c>
      <x:c r="L136" s="84" t="s">
        <x:v>257</x:v>
      </x:c>
      <x:c r="M136" s="85"/>
    </x:row>
    <x:row r="137" ht="36" customHeight="1">
      <x:c r="A137" s="83" t="n">
        <x:v>136</x:v>
      </x:c>
      <x:c r="B137" s="101">
        <x:v>46539.0</x:v>
      </x:c>
      <x:c r="C137" s="84" t="s">
        <x:v>36</x:v>
      </x:c>
      <x:c r="D137" s="84">
        <x:v>2027.0</x:v>
      </x:c>
      <x:c r="E137" s="84" t="s">
        <x:v>111</x:v>
      </x:c>
      <x:c r="F137" s="84" t="s">
        <x:v>230</x:v>
      </x:c>
      <x:c r="G137" s="84" t="s">
        <x:v>263</x:v>
      </x:c>
      <x:c r="H137" s="84" t="s">
        <x:v>256</x:v>
      </x:c>
      <x:c r="I137" s="84"/>
      <x:c r="J137" s="84" t="s">
        <x:v>19</x:v>
      </x:c>
      <x:c r="K137" s="84" t="s">
        <x:v>27</x:v>
      </x:c>
      <x:c r="L137" s="84" t="s">
        <x:v>257</x:v>
      </x:c>
      <x:c r="M137" s="85"/>
    </x:row>
    <x:row r="138" ht="36" customHeight="1">
      <x:c r="A138" s="83" t="n">
        <x:v>137</x:v>
      </x:c>
      <x:c r="B138" s="101">
        <x:v>46539.0</x:v>
      </x:c>
      <x:c r="C138" s="84" t="s">
        <x:v>36</x:v>
      </x:c>
      <x:c r="D138" s="84">
        <x:v>2027.0</x:v>
      </x:c>
      <x:c r="E138" s="84" t="s">
        <x:v>48</x:v>
      </x:c>
      <x:c r="F138" s="84" t="s">
        <x:v>68</x:v>
      </x:c>
      <x:c r="G138" s="84" t="s">
        <x:v>264</x:v>
      </x:c>
      <x:c r="H138" s="84" t="s">
        <x:v>265</x:v>
      </x:c>
      <x:c r="I138" s="84"/>
      <x:c r="J138" s="84" t="s">
        <x:v>19</x:v>
      </x:c>
      <x:c r="K138" s="84" t="s">
        <x:v>27</x:v>
      </x:c>
      <x:c r="L138" s="84" t="s">
        <x:v>266</x:v>
      </x:c>
      <x:c r="M138" s="85"/>
    </x:row>
    <x:row r="139" ht="36" customHeight="1">
      <x:c r="A139" s="83" t="n">
        <x:v>138</x:v>
      </x:c>
      <x:c r="B139" s="101">
        <x:v>46539.0</x:v>
      </x:c>
      <x:c r="C139" s="84" t="s">
        <x:v>36</x:v>
      </x:c>
      <x:c r="D139" s="84">
        <x:v>2027.0</x:v>
      </x:c>
      <x:c r="E139" s="84" t="s">
        <x:v>40</x:v>
      </x:c>
      <x:c r="F139" s="84" t="s">
        <x:v>40</x:v>
      </x:c>
      <x:c r="G139" s="84" t="s">
        <x:v>267</x:v>
      </x:c>
      <x:c r="H139" s="84" t="s">
        <x:v>17</x:v>
      </x:c>
      <x:c r="I139" s="84"/>
      <x:c r="J139" s="84" t="s">
        <x:v>19</x:v>
      </x:c>
      <x:c r="K139" s="84" t="s">
        <x:v>76</x:v>
      </x:c>
      <x:c r="L139" s="84" t="s">
        <x:v>268</x:v>
      </x:c>
      <x:c r="M139" s="85"/>
    </x:row>
    <x:row r="140" ht="36" customHeight="1">
      <x:c r="A140" s="83" t="n">
        <x:v>139</x:v>
      </x:c>
      <x:c r="B140" s="101">
        <x:v>46539.0</x:v>
      </x:c>
      <x:c r="C140" s="84" t="s">
        <x:v>36</x:v>
      </x:c>
      <x:c r="D140" s="84">
        <x:v>2027.0</x:v>
      </x:c>
      <x:c r="E140" s="84" t="s">
        <x:v>40</x:v>
      </x:c>
      <x:c r="F140" s="84" t="s">
        <x:v>40</x:v>
      </x:c>
      <x:c r="G140" s="84" t="s">
        <x:v>269</x:v>
      </x:c>
      <x:c r="H140" s="84" t="s">
        <x:v>17</x:v>
      </x:c>
      <x:c r="I140" s="84"/>
      <x:c r="J140" s="84" t="s">
        <x:v>19</x:v>
      </x:c>
      <x:c r="K140" s="84" t="s">
        <x:v>76</x:v>
      </x:c>
      <x:c r="L140" s="84" t="s">
        <x:v>268</x:v>
      </x:c>
      <x:c r="M140" s="85"/>
    </x:row>
    <x:row r="141" ht="36" customHeight="1">
      <x:c r="A141" s="83" t="n">
        <x:v>140</x:v>
      </x:c>
      <x:c r="B141" s="101">
        <x:v>46569.0</x:v>
      </x:c>
      <x:c r="C141" s="84" t="s">
        <x:v>47</x:v>
      </x:c>
      <x:c r="D141" s="84">
        <x:v>2027.0</x:v>
      </x:c>
      <x:c r="E141" s="84" t="s">
        <x:v>111</x:v>
      </x:c>
      <x:c r="F141" s="84" t="s">
        <x:v>213</x:v>
      </x:c>
      <x:c r="G141" s="84" t="s">
        <x:v>270</x:v>
      </x:c>
      <x:c r="H141" s="84" t="s">
        <x:v>112</x:v>
      </x:c>
      <x:c r="I141" s="84"/>
      <x:c r="J141" s="84" t="s">
        <x:v>19</x:v>
      </x:c>
      <x:c r="K141" s="84" t="s">
        <x:v>27</x:v>
      </x:c>
      <x:c r="L141" s="84" t="s">
        <x:v>271</x:v>
      </x:c>
      <x:c r="M141" s="85"/>
    </x:row>
    <x:row r="142" ht="36" customHeight="1">
      <x:c r="A142" s="83" t="n">
        <x:v>141</x:v>
      </x:c>
      <x:c r="B142" s="101">
        <x:v>46569.0</x:v>
      </x:c>
      <x:c r="C142" s="84" t="s">
        <x:v>47</x:v>
      </x:c>
      <x:c r="D142" s="84">
        <x:v>2027.0</x:v>
      </x:c>
      <x:c r="E142" s="84" t="s">
        <x:v>111</x:v>
      </x:c>
      <x:c r="F142" s="84" t="s">
        <x:v>213</x:v>
      </x:c>
      <x:c r="G142" s="84" t="s">
        <x:v>272</x:v>
      </x:c>
      <x:c r="H142" s="84" t="s">
        <x:v>112</x:v>
      </x:c>
      <x:c r="I142" s="84"/>
      <x:c r="J142" s="84" t="s">
        <x:v>19</x:v>
      </x:c>
      <x:c r="K142" s="84" t="s">
        <x:v>27</x:v>
      </x:c>
      <x:c r="L142" s="84" t="s">
        <x:v>271</x:v>
      </x:c>
      <x:c r="M142" s="85"/>
    </x:row>
    <x:row r="143" ht="36" customHeight="1">
      <x:c r="A143" s="83" t="n">
        <x:v>142</x:v>
      </x:c>
      <x:c r="B143" s="101">
        <x:v>46569.0</x:v>
      </x:c>
      <x:c r="C143" s="84" t="s">
        <x:v>47</x:v>
      </x:c>
      <x:c r="D143" s="84">
        <x:v>2027.0</x:v>
      </x:c>
      <x:c r="E143" s="84" t="s">
        <x:v>111</x:v>
      </x:c>
      <x:c r="F143" s="84" t="s">
        <x:v>273</x:v>
      </x:c>
      <x:c r="G143" s="84" t="s">
        <x:v>274</x:v>
      </x:c>
      <x:c r="H143" s="84" t="s">
        <x:v>275</x:v>
      </x:c>
      <x:c r="I143" s="84"/>
      <x:c r="J143" s="84" t="s">
        <x:v>19</x:v>
      </x:c>
      <x:c r="K143" s="84" t="s">
        <x:v>27</x:v>
      </x:c>
      <x:c r="L143" s="84" t="s">
        <x:v>276</x:v>
      </x:c>
      <x:c r="M143" s="85"/>
    </x:row>
    <x:row r="144" ht="36" customHeight="1">
      <x:c r="A144" s="83" t="n">
        <x:v>143</x:v>
      </x:c>
      <x:c r="B144" s="101">
        <x:v>46569.0</x:v>
      </x:c>
      <x:c r="C144" s="84" t="s">
        <x:v>47</x:v>
      </x:c>
      <x:c r="D144" s="84">
        <x:v>2027.0</x:v>
      </x:c>
      <x:c r="E144" s="84" t="s">
        <x:v>111</x:v>
      </x:c>
      <x:c r="F144" s="84" t="s">
        <x:v>277</x:v>
      </x:c>
      <x:c r="G144" s="84" t="s">
        <x:v>278</x:v>
      </x:c>
      <x:c r="H144" s="84" t="s">
        <x:v>150</x:v>
      </x:c>
      <x:c r="I144" s="84"/>
      <x:c r="J144" s="84" t="s">
        <x:v>19</x:v>
      </x:c>
      <x:c r="K144" s="84" t="s">
        <x:v>27</x:v>
      </x:c>
      <x:c r="L144" s="84" t="s">
        <x:v>279</x:v>
      </x:c>
      <x:c r="M144" s="85"/>
    </x:row>
    <x:row r="145" ht="36" customHeight="1">
      <x:c r="A145" s="83" t="n">
        <x:v>144</x:v>
      </x:c>
      <x:c r="B145" s="101">
        <x:v>46569.0</x:v>
      </x:c>
      <x:c r="C145" s="84" t="s">
        <x:v>47</x:v>
      </x:c>
      <x:c r="D145" s="84">
        <x:v>2027.0</x:v>
      </x:c>
      <x:c r="E145" s="84" t="s">
        <x:v>111</x:v>
      </x:c>
      <x:c r="F145" s="84" t="s">
        <x:v>277</x:v>
      </x:c>
      <x:c r="G145" s="84" t="s">
        <x:v>280</x:v>
      </x:c>
      <x:c r="H145" s="84" t="s">
        <x:v>150</x:v>
      </x:c>
      <x:c r="I145" s="84"/>
      <x:c r="J145" s="84" t="s">
        <x:v>19</x:v>
      </x:c>
      <x:c r="K145" s="84" t="s">
        <x:v>27</x:v>
      </x:c>
      <x:c r="L145" s="84" t="s">
        <x:v>279</x:v>
      </x:c>
      <x:c r="M145" s="85"/>
    </x:row>
    <x:row r="146" ht="36" customHeight="1">
      <x:c r="A146" s="83" t="n">
        <x:v>145</x:v>
      </x:c>
      <x:c r="B146" s="101">
        <x:v>46569.0</x:v>
      </x:c>
      <x:c r="C146" s="84" t="s">
        <x:v>47</x:v>
      </x:c>
      <x:c r="D146" s="84">
        <x:v>2027.0</x:v>
      </x:c>
      <x:c r="E146" s="84" t="s">
        <x:v>48</x:v>
      </x:c>
      <x:c r="F146" s="84" t="s">
        <x:v>68</x:v>
      </x:c>
      <x:c r="G146" s="84" t="s">
        <x:v>281</x:v>
      </x:c>
      <x:c r="H146" s="84" t="s">
        <x:v>48</x:v>
      </x:c>
      <x:c r="I146" s="84"/>
      <x:c r="J146" s="84" t="s">
        <x:v>19</x:v>
      </x:c>
      <x:c r="K146" s="84" t="s">
        <x:v>76</x:v>
      </x:c>
      <x:c r="L146" s="84" t="s">
        <x:v>279</x:v>
      </x:c>
      <x:c r="M146" s="85"/>
    </x:row>
    <x:row r="147" ht="36" customHeight="1">
      <x:c r="A147" s="83" t="n">
        <x:v>146</x:v>
      </x:c>
      <x:c r="B147" s="101">
        <x:v>46569.0</x:v>
      </x:c>
      <x:c r="C147" s="84" t="s">
        <x:v>47</x:v>
      </x:c>
      <x:c r="D147" s="84">
        <x:v>2027.0</x:v>
      </x:c>
      <x:c r="E147" s="84" t="s">
        <x:v>48</x:v>
      </x:c>
      <x:c r="F147" s="84" t="s">
        <x:v>68</x:v>
      </x:c>
      <x:c r="G147" s="84" t="s">
        <x:v>282</x:v>
      </x:c>
      <x:c r="H147" s="84" t="s">
        <x:v>48</x:v>
      </x:c>
      <x:c r="I147" s="84"/>
      <x:c r="J147" s="84" t="s">
        <x:v>19</x:v>
      </x:c>
      <x:c r="K147" s="84" t="s">
        <x:v>76</x:v>
      </x:c>
      <x:c r="L147" s="84" t="s">
        <x:v>279</x:v>
      </x:c>
      <x:c r="M147" s="85"/>
    </x:row>
    <x:row r="148" ht="36" customHeight="1">
      <x:c r="A148" s="83" t="n">
        <x:v>147</x:v>
      </x:c>
      <x:c r="B148" s="101">
        <x:v>46569.0</x:v>
      </x:c>
      <x:c r="C148" s="84" t="s">
        <x:v>47</x:v>
      </x:c>
      <x:c r="D148" s="84">
        <x:v>2027.0</x:v>
      </x:c>
      <x:c r="E148" s="84" t="s">
        <x:v>48</x:v>
      </x:c>
      <x:c r="F148" s="84" t="s">
        <x:v>68</x:v>
      </x:c>
      <x:c r="G148" s="84" t="s">
        <x:v>283</x:v>
      </x:c>
      <x:c r="H148" s="84" t="s">
        <x:v>48</x:v>
      </x:c>
      <x:c r="I148" s="84"/>
      <x:c r="J148" s="84" t="s">
        <x:v>19</x:v>
      </x:c>
      <x:c r="K148" s="84" t="s">
        <x:v>76</x:v>
      </x:c>
      <x:c r="L148" s="84" t="s">
        <x:v>279</x:v>
      </x:c>
      <x:c r="M148" s="85"/>
    </x:row>
    <x:row r="149" ht="36" customHeight="1">
      <x:c r="A149" s="83" t="n">
        <x:v>148</x:v>
      </x:c>
      <x:c r="B149" s="101">
        <x:v>46600.0</x:v>
      </x:c>
      <x:c r="C149" s="84" t="s">
        <x:v>81</x:v>
      </x:c>
      <x:c r="D149" s="84">
        <x:v>2027.0</x:v>
      </x:c>
      <x:c r="E149" s="84" t="s">
        <x:v>111</x:v>
      </x:c>
      <x:c r="F149" s="84" t="s">
        <x:v>213</x:v>
      </x:c>
      <x:c r="G149" s="84" t="s">
        <x:v>284</x:v>
      </x:c>
      <x:c r="H149" s="84" t="s">
        <x:v>112</x:v>
      </x:c>
      <x:c r="I149" s="84"/>
      <x:c r="J149" s="84" t="s">
        <x:v>19</x:v>
      </x:c>
      <x:c r="K149" s="84" t="s">
        <x:v>27</x:v>
      </x:c>
      <x:c r="L149" s="84" t="s">
        <x:v>285</x:v>
      </x:c>
      <x:c r="M149" s="85"/>
    </x:row>
    <x:row r="150" ht="36" customHeight="1">
      <x:c r="A150" s="83" t="n">
        <x:v>149</x:v>
      </x:c>
      <x:c r="B150" s="101">
        <x:v>46600.0</x:v>
      </x:c>
      <x:c r="C150" s="84" t="s">
        <x:v>81</x:v>
      </x:c>
      <x:c r="D150" s="84">
        <x:v>2027.0</x:v>
      </x:c>
      <x:c r="E150" s="84" t="s">
        <x:v>111</x:v>
      </x:c>
      <x:c r="F150" s="84" t="s">
        <x:v>213</x:v>
      </x:c>
      <x:c r="G150" s="84" t="s">
        <x:v>286</x:v>
      </x:c>
      <x:c r="H150" s="84" t="s">
        <x:v>112</x:v>
      </x:c>
      <x:c r="I150" s="84"/>
      <x:c r="J150" s="84" t="s">
        <x:v>19</x:v>
      </x:c>
      <x:c r="K150" s="84" t="s">
        <x:v>27</x:v>
      </x:c>
      <x:c r="L150" s="84" t="s">
        <x:v>285</x:v>
      </x:c>
      <x:c r="M150" s="85"/>
    </x:row>
    <x:row r="151" ht="36" customHeight="1">
      <x:c r="A151" s="83" t="n">
        <x:v>150</x:v>
      </x:c>
      <x:c r="B151" s="101">
        <x:v>46600.0</x:v>
      </x:c>
      <x:c r="C151" s="84" t="s">
        <x:v>81</x:v>
      </x:c>
      <x:c r="D151" s="84">
        <x:v>2027.0</x:v>
      </x:c>
      <x:c r="E151" s="84" t="s">
        <x:v>111</x:v>
      </x:c>
      <x:c r="F151" s="84" t="s">
        <x:v>213</x:v>
      </x:c>
      <x:c r="G151" s="84" t="s">
        <x:v>287</x:v>
      </x:c>
      <x:c r="H151" s="84" t="s">
        <x:v>112</x:v>
      </x:c>
      <x:c r="I151" s="84"/>
      <x:c r="J151" s="84" t="s">
        <x:v>19</x:v>
      </x:c>
      <x:c r="K151" s="84" t="s">
        <x:v>27</x:v>
      </x:c>
      <x:c r="L151" s="84" t="s">
        <x:v>285</x:v>
      </x:c>
      <x:c r="M151" s="85"/>
    </x:row>
    <x:row r="152" ht="36" customHeight="1">
      <x:c r="A152" s="83" t="n">
        <x:v>151</x:v>
      </x:c>
      <x:c r="B152" s="101">
        <x:v>46600.0</x:v>
      </x:c>
      <x:c r="C152" s="84" t="s">
        <x:v>81</x:v>
      </x:c>
      <x:c r="D152" s="84">
        <x:v>2027.0</x:v>
      </x:c>
      <x:c r="E152" s="84" t="s">
        <x:v>111</x:v>
      </x:c>
      <x:c r="F152" s="84" t="s">
        <x:v>288</x:v>
      </x:c>
      <x:c r="G152" s="84" t="s">
        <x:v>289</x:v>
      </x:c>
      <x:c r="H152" s="84" t="s">
        <x:v>136</x:v>
      </x:c>
      <x:c r="I152" s="84"/>
      <x:c r="J152" s="84" t="s">
        <x:v>19</x:v>
      </x:c>
      <x:c r="K152" s="84" t="s">
        <x:v>27</x:v>
      </x:c>
      <x:c r="L152" s="84" t="s">
        <x:v>290</x:v>
      </x:c>
      <x:c r="M152" s="85"/>
    </x:row>
    <x:row r="153" ht="36" customHeight="1">
      <x:c r="A153" s="83" t="n">
        <x:v>152</x:v>
      </x:c>
      <x:c r="B153" s="101">
        <x:v>46600.0</x:v>
      </x:c>
      <x:c r="C153" s="84" t="s">
        <x:v>81</x:v>
      </x:c>
      <x:c r="D153" s="84">
        <x:v>2027.0</x:v>
      </x:c>
      <x:c r="E153" s="84" t="s">
        <x:v>111</x:v>
      </x:c>
      <x:c r="F153" s="84" t="s">
        <x:v>288</x:v>
      </x:c>
      <x:c r="G153" s="84" t="s">
        <x:v>291</x:v>
      </x:c>
      <x:c r="H153" s="84" t="s">
        <x:v>136</x:v>
      </x:c>
      <x:c r="I153" s="84"/>
      <x:c r="J153" s="84" t="s">
        <x:v>19</x:v>
      </x:c>
      <x:c r="K153" s="84" t="s">
        <x:v>27</x:v>
      </x:c>
      <x:c r="L153" s="84" t="s">
        <x:v>290</x:v>
      </x:c>
      <x:c r="M153" s="85"/>
    </x:row>
    <x:row r="154" ht="36" customHeight="1">
      <x:c r="A154" s="83" t="n">
        <x:v>153</x:v>
      </x:c>
      <x:c r="B154" s="101">
        <x:v>46600.0</x:v>
      </x:c>
      <x:c r="C154" s="84" t="s">
        <x:v>81</x:v>
      </x:c>
      <x:c r="D154" s="84">
        <x:v>2027.0</x:v>
      </x:c>
      <x:c r="E154" s="84" t="s">
        <x:v>111</x:v>
      </x:c>
      <x:c r="F154" s="84" t="s">
        <x:v>292</x:v>
      </x:c>
      <x:c r="G154" s="84" t="s">
        <x:v>293</x:v>
      </x:c>
      <x:c r="H154" s="84" t="s">
        <x:v>294</x:v>
      </x:c>
      <x:c r="I154" s="84"/>
      <x:c r="J154" s="84" t="s">
        <x:v>19</x:v>
      </x:c>
      <x:c r="K154" s="84" t="s">
        <x:v>27</x:v>
      </x:c>
      <x:c r="L154" s="84" t="s">
        <x:v>279</x:v>
      </x:c>
      <x:c r="M154" s="85"/>
    </x:row>
    <x:row r="155" ht="36" customHeight="1">
      <x:c r="A155" s="83" t="n">
        <x:v>154</x:v>
      </x:c>
      <x:c r="B155" s="101">
        <x:v>46600.0</x:v>
      </x:c>
      <x:c r="C155" s="84" t="s">
        <x:v>81</x:v>
      </x:c>
      <x:c r="D155" s="84">
        <x:v>2027.0</x:v>
      </x:c>
      <x:c r="E155" s="84" t="s">
        <x:v>111</x:v>
      </x:c>
      <x:c r="F155" s="84" t="s">
        <x:v>292</x:v>
      </x:c>
      <x:c r="G155" s="84" t="s">
        <x:v>295</x:v>
      </x:c>
      <x:c r="H155" s="84" t="s">
        <x:v>294</x:v>
      </x:c>
      <x:c r="I155" s="84"/>
      <x:c r="J155" s="84" t="s">
        <x:v>19</x:v>
      </x:c>
      <x:c r="K155" s="84" t="s">
        <x:v>27</x:v>
      </x:c>
      <x:c r="L155" s="84" t="s">
        <x:v>279</x:v>
      </x:c>
      <x:c r="M155" s="85"/>
    </x:row>
    <x:row r="156" ht="36" customHeight="1">
      <x:c r="A156" s="83" t="n">
        <x:v>155</x:v>
      </x:c>
      <x:c r="B156" s="101">
        <x:v>46600.0</x:v>
      </x:c>
      <x:c r="C156" s="84" t="s">
        <x:v>81</x:v>
      </x:c>
      <x:c r="D156" s="84">
        <x:v>2027.0</x:v>
      </x:c>
      <x:c r="E156" s="84" t="s">
        <x:v>48</x:v>
      </x:c>
      <x:c r="F156" s="84" t="s">
        <x:v>68</x:v>
      </x:c>
      <x:c r="G156" s="84" t="s">
        <x:v>296</x:v>
      </x:c>
      <x:c r="H156" s="84" t="s">
        <x:v>297</x:v>
      </x:c>
      <x:c r="I156" s="84"/>
      <x:c r="J156" s="84" t="s">
        <x:v>19</x:v>
      </x:c>
      <x:c r="K156" s="84" t="s">
        <x:v>76</x:v>
      </x:c>
      <x:c r="L156" s="84" t="s">
        <x:v>298</x:v>
      </x:c>
      <x:c r="M156" s="85"/>
    </x:row>
    <x:row r="157" ht="36" customHeight="1">
      <x:c r="A157" s="83" t="n">
        <x:v>156</x:v>
      </x:c>
      <x:c r="B157" s="101">
        <x:v>46631.0</x:v>
      </x:c>
      <x:c r="C157" s="84" t="s">
        <x:v>105</x:v>
      </x:c>
      <x:c r="D157" s="84">
        <x:v>2027.0</x:v>
      </x:c>
      <x:c r="E157" s="84" t="s">
        <x:v>111</x:v>
      </x:c>
      <x:c r="F157" s="84" t="s">
        <x:v>213</x:v>
      </x:c>
      <x:c r="G157" s="84" t="s">
        <x:v>299</x:v>
      </x:c>
      <x:c r="H157" s="84" t="s">
        <x:v>112</x:v>
      </x:c>
      <x:c r="I157" s="84"/>
      <x:c r="J157" s="84" t="s">
        <x:v>19</x:v>
      </x:c>
      <x:c r="K157" s="84" t="s">
        <x:v>27</x:v>
      </x:c>
      <x:c r="L157" s="84" t="s">
        <x:v>300</x:v>
      </x:c>
      <x:c r="M157" s="85"/>
    </x:row>
    <x:row r="158" ht="36" customHeight="1">
      <x:c r="A158" s="83" t="n">
        <x:v>157</x:v>
      </x:c>
      <x:c r="B158" s="101">
        <x:v>46631.0</x:v>
      </x:c>
      <x:c r="C158" s="84" t="s">
        <x:v>105</x:v>
      </x:c>
      <x:c r="D158" s="84">
        <x:v>2027.0</x:v>
      </x:c>
      <x:c r="E158" s="84" t="s">
        <x:v>111</x:v>
      </x:c>
      <x:c r="F158" s="84" t="s">
        <x:v>277</x:v>
      </x:c>
      <x:c r="G158" s="84" t="s">
        <x:v>301</x:v>
      </x:c>
      <x:c r="H158" s="84" t="s">
        <x:v>112</x:v>
      </x:c>
      <x:c r="I158" s="84"/>
      <x:c r="J158" s="84" t="s">
        <x:v>19</x:v>
      </x:c>
      <x:c r="K158" s="84" t="s">
        <x:v>27</x:v>
      </x:c>
      <x:c r="L158" s="84" t="s">
        <x:v>276</x:v>
      </x:c>
      <x:c r="M158" s="85"/>
    </x:row>
    <x:row r="159" ht="36" customHeight="1">
      <x:c r="A159" s="83" t="n">
        <x:v>158</x:v>
      </x:c>
      <x:c r="B159" s="101">
        <x:v>46631.0</x:v>
      </x:c>
      <x:c r="C159" s="84" t="s">
        <x:v>105</x:v>
      </x:c>
      <x:c r="D159" s="84">
        <x:v>2027.0</x:v>
      </x:c>
      <x:c r="E159" s="84" t="s">
        <x:v>111</x:v>
      </x:c>
      <x:c r="F159" s="84" t="s">
        <x:v>277</x:v>
      </x:c>
      <x:c r="G159" s="84" t="s">
        <x:v>302</x:v>
      </x:c>
      <x:c r="H159" s="84" t="s">
        <x:v>112</x:v>
      </x:c>
      <x:c r="I159" s="84"/>
      <x:c r="J159" s="84" t="s">
        <x:v>19</x:v>
      </x:c>
      <x:c r="K159" s="84" t="s">
        <x:v>27</x:v>
      </x:c>
      <x:c r="L159" s="84" t="s">
        <x:v>276</x:v>
      </x:c>
      <x:c r="M159" s="85"/>
    </x:row>
    <x:row r="160" ht="36" customHeight="1">
      <x:c r="A160" s="83" t="n">
        <x:v>159</x:v>
      </x:c>
      <x:c r="B160" s="101">
        <x:v>46631.0</x:v>
      </x:c>
      <x:c r="C160" s="84" t="s">
        <x:v>105</x:v>
      </x:c>
      <x:c r="D160" s="84">
        <x:v>2027.0</x:v>
      </x:c>
      <x:c r="E160" s="84" t="s">
        <x:v>111</x:v>
      </x:c>
      <x:c r="F160" s="84" t="s">
        <x:v>277</x:v>
      </x:c>
      <x:c r="G160" s="84" t="s">
        <x:v>303</x:v>
      </x:c>
      <x:c r="H160" s="84" t="s">
        <x:v>112</x:v>
      </x:c>
      <x:c r="I160" s="84"/>
      <x:c r="J160" s="84" t="s">
        <x:v>19</x:v>
      </x:c>
      <x:c r="K160" s="84" t="s">
        <x:v>27</x:v>
      </x:c>
      <x:c r="L160" s="84" t="s">
        <x:v>276</x:v>
      </x:c>
      <x:c r="M160" s="85"/>
    </x:row>
    <x:row r="161" ht="36" customHeight="1">
      <x:c r="A161" s="83" t="n">
        <x:v>160</x:v>
      </x:c>
      <x:c r="B161" s="101">
        <x:v>46631.0</x:v>
      </x:c>
      <x:c r="C161" s="84" t="s">
        <x:v>105</x:v>
      </x:c>
      <x:c r="D161" s="84">
        <x:v>2027.0</x:v>
      </x:c>
      <x:c r="E161" s="84" t="s">
        <x:v>111</x:v>
      </x:c>
      <x:c r="F161" s="84" t="s">
        <x:v>277</x:v>
      </x:c>
      <x:c r="G161" s="84" t="s">
        <x:v>304</x:v>
      </x:c>
      <x:c r="H161" s="84" t="s">
        <x:v>112</x:v>
      </x:c>
      <x:c r="I161" s="84"/>
      <x:c r="J161" s="84" t="s">
        <x:v>19</x:v>
      </x:c>
      <x:c r="K161" s="84" t="s">
        <x:v>27</x:v>
      </x:c>
      <x:c r="L161" s="84" t="s">
        <x:v>276</x:v>
      </x:c>
      <x:c r="M161" s="85"/>
    </x:row>
    <x:row r="162" ht="36" customHeight="1">
      <x:c r="A162" s="83" t="n">
        <x:v>161</x:v>
      </x:c>
      <x:c r="B162" s="101">
        <x:v>46631.0</x:v>
      </x:c>
      <x:c r="C162" s="84" t="s">
        <x:v>105</x:v>
      </x:c>
      <x:c r="D162" s="84">
        <x:v>2027.0</x:v>
      </x:c>
      <x:c r="E162" s="84" t="s">
        <x:v>111</x:v>
      </x:c>
      <x:c r="F162" s="84" t="s">
        <x:v>273</x:v>
      </x:c>
      <x:c r="G162" s="84" t="s">
        <x:v>305</x:v>
      </x:c>
      <x:c r="H162" s="84" t="s">
        <x:v>306</x:v>
      </x:c>
      <x:c r="I162" s="84"/>
      <x:c r="J162" s="84" t="s">
        <x:v>19</x:v>
      </x:c>
      <x:c r="K162" s="84" t="s">
        <x:v>27</x:v>
      </x:c>
      <x:c r="L162" s="84" t="s">
        <x:v>307</x:v>
      </x:c>
      <x:c r="M162" s="85"/>
    </x:row>
    <x:row r="163" ht="36" customHeight="1">
      <x:c r="A163" s="83" t="n">
        <x:v>162</x:v>
      </x:c>
      <x:c r="B163" s="101">
        <x:v>46631.0</x:v>
      </x:c>
      <x:c r="C163" s="84" t="s">
        <x:v>105</x:v>
      </x:c>
      <x:c r="D163" s="84">
        <x:v>2027.0</x:v>
      </x:c>
      <x:c r="E163" s="84" t="s">
        <x:v>111</x:v>
      </x:c>
      <x:c r="F163" s="84" t="s">
        <x:v>273</x:v>
      </x:c>
      <x:c r="G163" s="84" t="s">
        <x:v>308</x:v>
      </x:c>
      <x:c r="H163" s="84" t="s">
        <x:v>306</x:v>
      </x:c>
      <x:c r="I163" s="84"/>
      <x:c r="J163" s="84" t="s">
        <x:v>19</x:v>
      </x:c>
      <x:c r="K163" s="84" t="s">
        <x:v>27</x:v>
      </x:c>
      <x:c r="L163" s="84" t="s">
        <x:v>307</x:v>
      </x:c>
      <x:c r="M163" s="85"/>
    </x:row>
    <x:row r="164" ht="36" customHeight="1">
      <x:c r="A164" s="83" t="n">
        <x:v>163</x:v>
      </x:c>
      <x:c r="B164" s="101">
        <x:v>46631.0</x:v>
      </x:c>
      <x:c r="C164" s="84" t="s">
        <x:v>105</x:v>
      </x:c>
      <x:c r="D164" s="84">
        <x:v>2027.0</x:v>
      </x:c>
      <x:c r="E164" s="84" t="s">
        <x:v>111</x:v>
      </x:c>
      <x:c r="F164" s="84" t="s">
        <x:v>309</x:v>
      </x:c>
      <x:c r="G164" s="84" t="s">
        <x:v>310</x:v>
      </x:c>
      <x:c r="H164" s="84" t="s">
        <x:v>311</x:v>
      </x:c>
      <x:c r="I164" s="84"/>
      <x:c r="J164" s="84" t="s">
        <x:v>19</x:v>
      </x:c>
      <x:c r="K164" s="84" t="s">
        <x:v>27</x:v>
      </x:c>
      <x:c r="L164" s="84" t="s">
        <x:v>312</x:v>
      </x:c>
      <x:c r="M164" s="85"/>
    </x:row>
    <x:row r="165" ht="36" customHeight="1">
      <x:c r="A165" s="83" t="n">
        <x:v>164</x:v>
      </x:c>
      <x:c r="B165" s="101">
        <x:v>46631.0</x:v>
      </x:c>
      <x:c r="C165" s="84" t="s">
        <x:v>105</x:v>
      </x:c>
      <x:c r="D165" s="84">
        <x:v>2027.0</x:v>
      </x:c>
      <x:c r="E165" s="84" t="s">
        <x:v>111</x:v>
      </x:c>
      <x:c r="F165" s="84" t="s">
        <x:v>309</x:v>
      </x:c>
      <x:c r="G165" s="84" t="s">
        <x:v>313</x:v>
      </x:c>
      <x:c r="H165" s="84" t="s">
        <x:v>311</x:v>
      </x:c>
      <x:c r="I165" s="84"/>
      <x:c r="J165" s="84" t="s">
        <x:v>19</x:v>
      </x:c>
      <x:c r="K165" s="84" t="s">
        <x:v>27</x:v>
      </x:c>
      <x:c r="L165" s="84" t="s">
        <x:v>312</x:v>
      </x:c>
      <x:c r="M165" s="85"/>
    </x:row>
    <x:row r="166" ht="36" customHeight="1">
      <x:c r="A166" s="83" t="n">
        <x:v>165</x:v>
      </x:c>
      <x:c r="B166" s="101">
        <x:v>46661.0</x:v>
      </x:c>
      <x:c r="C166" s="84" t="s">
        <x:v>120</x:v>
      </x:c>
      <x:c r="D166" s="84">
        <x:v>2027.0</x:v>
      </x:c>
      <x:c r="E166" s="84" t="s">
        <x:v>111</x:v>
      </x:c>
      <x:c r="F166" s="84" t="s">
        <x:v>213</x:v>
      </x:c>
      <x:c r="G166" s="84" t="s">
        <x:v>314</x:v>
      </x:c>
      <x:c r="H166" s="84" t="s">
        <x:v>112</x:v>
      </x:c>
      <x:c r="I166" s="84"/>
      <x:c r="J166" s="84" t="s">
        <x:v>19</x:v>
      </x:c>
      <x:c r="K166" s="84" t="s">
        <x:v>27</x:v>
      </x:c>
      <x:c r="L166" s="84" t="s">
        <x:v>279</x:v>
      </x:c>
      <x:c r="M166" s="85"/>
    </x:row>
    <x:row r="167" ht="36" customHeight="1">
      <x:c r="A167" s="83" t="n">
        <x:v>166</x:v>
      </x:c>
      <x:c r="B167" s="101">
        <x:v>46661.0</x:v>
      </x:c>
      <x:c r="C167" s="84" t="s">
        <x:v>120</x:v>
      </x:c>
      <x:c r="D167" s="84">
        <x:v>2027.0</x:v>
      </x:c>
      <x:c r="E167" s="84" t="s">
        <x:v>111</x:v>
      </x:c>
      <x:c r="F167" s="84" t="s">
        <x:v>277</x:v>
      </x:c>
      <x:c r="G167" s="84" t="s">
        <x:v>315</x:v>
      </x:c>
      <x:c r="H167" s="84" t="s">
        <x:v>112</x:v>
      </x:c>
      <x:c r="I167" s="84"/>
      <x:c r="J167" s="84" t="s">
        <x:v>19</x:v>
      </x:c>
      <x:c r="K167" s="84" t="s">
        <x:v>27</x:v>
      </x:c>
      <x:c r="L167" s="84" t="s">
        <x:v>316</x:v>
      </x:c>
      <x:c r="M167" s="85"/>
    </x:row>
    <x:row r="168" ht="36" customHeight="1">
      <x:c r="A168" s="83" t="n">
        <x:v>167</x:v>
      </x:c>
      <x:c r="B168" s="101">
        <x:v>46661.0</x:v>
      </x:c>
      <x:c r="C168" s="84" t="s">
        <x:v>120</x:v>
      </x:c>
      <x:c r="D168" s="84">
        <x:v>2027.0</x:v>
      </x:c>
      <x:c r="E168" s="84" t="s">
        <x:v>111</x:v>
      </x:c>
      <x:c r="F168" s="84" t="s">
        <x:v>273</x:v>
      </x:c>
      <x:c r="G168" s="84" t="s">
        <x:v>317</x:v>
      </x:c>
      <x:c r="H168" s="84" t="s">
        <x:v>306</x:v>
      </x:c>
      <x:c r="I168" s="84"/>
      <x:c r="J168" s="84" t="s">
        <x:v>19</x:v>
      </x:c>
      <x:c r="K168" s="84" t="s">
        <x:v>27</x:v>
      </x:c>
      <x:c r="L168" s="84" t="s">
        <x:v>318</x:v>
      </x:c>
      <x:c r="M168" s="85"/>
    </x:row>
    <x:row r="169" ht="36" customHeight="1">
      <x:c r="A169" s="83" t="n">
        <x:v>168</x:v>
      </x:c>
      <x:c r="B169" s="101">
        <x:v>46661.0</x:v>
      </x:c>
      <x:c r="C169" s="84" t="s">
        <x:v>120</x:v>
      </x:c>
      <x:c r="D169" s="84">
        <x:v>2027.0</x:v>
      </x:c>
      <x:c r="E169" s="84" t="s">
        <x:v>111</x:v>
      </x:c>
      <x:c r="F169" s="84" t="s">
        <x:v>273</x:v>
      </x:c>
      <x:c r="G169" s="84" t="s">
        <x:v>319</x:v>
      </x:c>
      <x:c r="H169" s="84" t="s">
        <x:v>306</x:v>
      </x:c>
      <x:c r="I169" s="84"/>
      <x:c r="J169" s="84" t="s">
        <x:v>19</x:v>
      </x:c>
      <x:c r="K169" s="84" t="s">
        <x:v>27</x:v>
      </x:c>
      <x:c r="L169" s="84" t="s">
        <x:v>318</x:v>
      </x:c>
      <x:c r="M169" s="85"/>
    </x:row>
    <x:row r="170" ht="36" customHeight="1">
      <x:c r="A170" s="83" t="n">
        <x:v>169</x:v>
      </x:c>
      <x:c r="B170" s="101">
        <x:v>46661.0</x:v>
      </x:c>
      <x:c r="C170" s="84" t="s">
        <x:v>120</x:v>
      </x:c>
      <x:c r="D170" s="84">
        <x:v>2027.0</x:v>
      </x:c>
      <x:c r="E170" s="84" t="s">
        <x:v>111</x:v>
      </x:c>
      <x:c r="F170" s="84" t="s">
        <x:v>273</x:v>
      </x:c>
      <x:c r="G170" s="84" t="s">
        <x:v>320</x:v>
      </x:c>
      <x:c r="H170" s="84" t="s">
        <x:v>306</x:v>
      </x:c>
      <x:c r="I170" s="84"/>
      <x:c r="J170" s="84" t="s">
        <x:v>19</x:v>
      </x:c>
      <x:c r="K170" s="84" t="s">
        <x:v>27</x:v>
      </x:c>
      <x:c r="L170" s="84" t="s">
        <x:v>318</x:v>
      </x:c>
      <x:c r="M170" s="85"/>
    </x:row>
    <x:row r="171" ht="36" customHeight="1">
      <x:c r="A171" s="83" t="n">
        <x:v>170</x:v>
      </x:c>
      <x:c r="B171" s="101">
        <x:v>46661.0</x:v>
      </x:c>
      <x:c r="C171" s="84" t="s">
        <x:v>120</x:v>
      </x:c>
      <x:c r="D171" s="84">
        <x:v>2027.0</x:v>
      </x:c>
      <x:c r="E171" s="84" t="s">
        <x:v>111</x:v>
      </x:c>
      <x:c r="F171" s="84" t="s">
        <x:v>273</x:v>
      </x:c>
      <x:c r="G171" s="84" t="s">
        <x:v>321</x:v>
      </x:c>
      <x:c r="H171" s="84" t="s">
        <x:v>306</x:v>
      </x:c>
      <x:c r="I171" s="84"/>
      <x:c r="J171" s="84" t="s">
        <x:v>19</x:v>
      </x:c>
      <x:c r="K171" s="84" t="s">
        <x:v>27</x:v>
      </x:c>
      <x:c r="L171" s="84" t="s">
        <x:v>318</x:v>
      </x:c>
      <x:c r="M171" s="85"/>
    </x:row>
    <x:row r="172" ht="36" customHeight="1">
      <x:c r="A172" s="83" t="n">
        <x:v>171</x:v>
      </x:c>
      <x:c r="B172" s="101">
        <x:v>46661.0</x:v>
      </x:c>
      <x:c r="C172" s="84" t="s">
        <x:v>120</x:v>
      </x:c>
      <x:c r="D172" s="84">
        <x:v>2027.0</x:v>
      </x:c>
      <x:c r="E172" s="84" t="s">
        <x:v>111</x:v>
      </x:c>
      <x:c r="F172" s="84" t="s">
        <x:v>273</x:v>
      </x:c>
      <x:c r="G172" s="84" t="s">
        <x:v>322</x:v>
      </x:c>
      <x:c r="H172" s="84" t="s">
        <x:v>306</x:v>
      </x:c>
      <x:c r="I172" s="84"/>
      <x:c r="J172" s="84" t="s">
        <x:v>19</x:v>
      </x:c>
      <x:c r="K172" s="84" t="s">
        <x:v>27</x:v>
      </x:c>
      <x:c r="L172" s="84" t="s">
        <x:v>318</x:v>
      </x:c>
      <x:c r="M172" s="85"/>
    </x:row>
    <x:row r="173" ht="36" customHeight="1">
      <x:c r="A173" s="83" t="n">
        <x:v>172</x:v>
      </x:c>
      <x:c r="B173" s="101">
        <x:v>46661.0</x:v>
      </x:c>
      <x:c r="C173" s="84" t="s">
        <x:v>120</x:v>
      </x:c>
      <x:c r="D173" s="84">
        <x:v>2027.0</x:v>
      </x:c>
      <x:c r="E173" s="84" t="s">
        <x:v>111</x:v>
      </x:c>
      <x:c r="F173" s="84" t="s">
        <x:v>273</x:v>
      </x:c>
      <x:c r="G173" s="84" t="s">
        <x:v>323</x:v>
      </x:c>
      <x:c r="H173" s="84" t="s">
        <x:v>306</x:v>
      </x:c>
      <x:c r="I173" s="84"/>
      <x:c r="J173" s="84" t="s">
        <x:v>19</x:v>
      </x:c>
      <x:c r="K173" s="84" t="s">
        <x:v>27</x:v>
      </x:c>
      <x:c r="L173" s="84" t="s">
        <x:v>318</x:v>
      </x:c>
      <x:c r="M173" s="85"/>
    </x:row>
    <x:row r="174" ht="36" customHeight="1">
      <x:c r="A174" s="83" t="n">
        <x:v>173</x:v>
      </x:c>
      <x:c r="B174" s="101">
        <x:v>46661.0</x:v>
      </x:c>
      <x:c r="C174" s="84" t="s">
        <x:v>120</x:v>
      </x:c>
      <x:c r="D174" s="84">
        <x:v>2027.0</x:v>
      </x:c>
      <x:c r="E174" s="84" t="s">
        <x:v>111</x:v>
      </x:c>
      <x:c r="F174" s="84" t="s">
        <x:v>292</x:v>
      </x:c>
      <x:c r="G174" s="84" t="s">
        <x:v>324</x:v>
      </x:c>
      <x:c r="H174" s="84" t="s">
        <x:v>294</x:v>
      </x:c>
      <x:c r="I174" s="84"/>
      <x:c r="J174" s="84" t="s">
        <x:v>19</x:v>
      </x:c>
      <x:c r="K174" s="84" t="s">
        <x:v>27</x:v>
      </x:c>
      <x:c r="L174" s="84" t="s">
        <x:v>325</x:v>
      </x:c>
      <x:c r="M174" s="85"/>
    </x:row>
    <x:row r="175" ht="36" customHeight="1">
      <x:c r="A175" s="83" t="n">
        <x:v>174</x:v>
      </x:c>
      <x:c r="B175" s="101">
        <x:v>46661.0</x:v>
      </x:c>
      <x:c r="C175" s="84" t="s">
        <x:v>120</x:v>
      </x:c>
      <x:c r="D175" s="84">
        <x:v>2027.0</x:v>
      </x:c>
      <x:c r="E175" s="84" t="s">
        <x:v>111</x:v>
      </x:c>
      <x:c r="F175" s="84" t="s">
        <x:v>292</x:v>
      </x:c>
      <x:c r="G175" s="84" t="s">
        <x:v>326</x:v>
      </x:c>
      <x:c r="H175" s="84" t="s">
        <x:v>294</x:v>
      </x:c>
      <x:c r="I175" s="84"/>
      <x:c r="J175" s="84" t="s">
        <x:v>19</x:v>
      </x:c>
      <x:c r="K175" s="84" t="s">
        <x:v>27</x:v>
      </x:c>
      <x:c r="L175" s="84" t="s">
        <x:v>325</x:v>
      </x:c>
      <x:c r="M175" s="85"/>
    </x:row>
    <x:row r="176" ht="36" customHeight="1">
      <x:c r="A176" s="83" t="n">
        <x:v>175</x:v>
      </x:c>
      <x:c r="B176" s="101">
        <x:v>46661.0</x:v>
      </x:c>
      <x:c r="C176" s="84" t="s">
        <x:v>120</x:v>
      </x:c>
      <x:c r="D176" s="84">
        <x:v>2027.0</x:v>
      </x:c>
      <x:c r="E176" s="84" t="s">
        <x:v>111</x:v>
      </x:c>
      <x:c r="F176" s="84" t="s">
        <x:v>292</x:v>
      </x:c>
      <x:c r="G176" s="84" t="s">
        <x:v>327</x:v>
      </x:c>
      <x:c r="H176" s="84" t="s">
        <x:v>294</x:v>
      </x:c>
      <x:c r="I176" s="84"/>
      <x:c r="J176" s="84" t="s">
        <x:v>19</x:v>
      </x:c>
      <x:c r="K176" s="84" t="s">
        <x:v>27</x:v>
      </x:c>
      <x:c r="L176" s="84" t="s">
        <x:v>325</x:v>
      </x:c>
      <x:c r="M176" s="85"/>
    </x:row>
    <x:row r="177" ht="36" customHeight="1">
      <x:c r="A177" s="83" t="n">
        <x:v>176</x:v>
      </x:c>
      <x:c r="B177" s="101">
        <x:v>46661.0</x:v>
      </x:c>
      <x:c r="C177" s="84" t="s">
        <x:v>120</x:v>
      </x:c>
      <x:c r="D177" s="84">
        <x:v>2027.0</x:v>
      </x:c>
      <x:c r="E177" s="84" t="s">
        <x:v>111</x:v>
      </x:c>
      <x:c r="F177" s="84" t="s">
        <x:v>292</x:v>
      </x:c>
      <x:c r="G177" s="84" t="s">
        <x:v>328</x:v>
      </x:c>
      <x:c r="H177" s="84" t="s">
        <x:v>294</x:v>
      </x:c>
      <x:c r="I177" s="84"/>
      <x:c r="J177" s="84" t="s">
        <x:v>19</x:v>
      </x:c>
      <x:c r="K177" s="84" t="s">
        <x:v>27</x:v>
      </x:c>
      <x:c r="L177" s="84" t="s">
        <x:v>325</x:v>
      </x:c>
      <x:c r="M177" s="85"/>
    </x:row>
    <x:row r="178" ht="36" customHeight="1">
      <x:c r="A178" s="83" t="n">
        <x:v>177</x:v>
      </x:c>
      <x:c r="B178" s="101">
        <x:v>46661.0</x:v>
      </x:c>
      <x:c r="C178" s="84" t="s">
        <x:v>120</x:v>
      </x:c>
      <x:c r="D178" s="84">
        <x:v>2027.0</x:v>
      </x:c>
      <x:c r="E178" s="84" t="s">
        <x:v>48</x:v>
      </x:c>
      <x:c r="F178" s="84" t="s">
        <x:v>68</x:v>
      </x:c>
      <x:c r="G178" s="84" t="s">
        <x:v>329</x:v>
      </x:c>
      <x:c r="H178" s="84" t="s">
        <x:v>297</x:v>
      </x:c>
      <x:c r="I178" s="84"/>
      <x:c r="J178" s="84" t="s">
        <x:v>19</x:v>
      </x:c>
      <x:c r="K178" s="84" t="s">
        <x:v>76</x:v>
      </x:c>
      <x:c r="L178" s="84" t="s">
        <x:v>330</x:v>
      </x:c>
      <x:c r="M178" s="85"/>
    </x:row>
    <x:row r="179" ht="36" customHeight="1">
      <x:c r="A179" s="83" t="n">
        <x:v>178</x:v>
      </x:c>
      <x:c r="B179" s="101">
        <x:v>46692.0</x:v>
      </x:c>
      <x:c r="C179" s="84" t="s">
        <x:v>133</x:v>
      </x:c>
      <x:c r="D179" s="84">
        <x:v>2027.0</x:v>
      </x:c>
      <x:c r="E179" s="84" t="s">
        <x:v>111</x:v>
      </x:c>
      <x:c r="F179" s="84" t="s">
        <x:v>213</x:v>
      </x:c>
      <x:c r="G179" s="84" t="s">
        <x:v>331</x:v>
      </x:c>
      <x:c r="H179" s="84" t="s">
        <x:v>112</x:v>
      </x:c>
      <x:c r="I179" s="84"/>
      <x:c r="J179" s="84" t="s">
        <x:v>19</x:v>
      </x:c>
      <x:c r="K179" s="84" t="s">
        <x:v>27</x:v>
      </x:c>
      <x:c r="L179" s="84" t="s">
        <x:v>332</x:v>
      </x:c>
      <x:c r="M179" s="85" t="s">
        <x:v>333</x:v>
      </x:c>
    </x:row>
    <x:row r="180" ht="36" customHeight="1">
      <x:c r="A180" s="83" t="n">
        <x:v>179</x:v>
      </x:c>
      <x:c r="B180" s="101">
        <x:v>46692.0</x:v>
      </x:c>
      <x:c r="C180" s="84" t="s">
        <x:v>133</x:v>
      </x:c>
      <x:c r="D180" s="84">
        <x:v>2027.0</x:v>
      </x:c>
      <x:c r="E180" s="84" t="s">
        <x:v>48</x:v>
      </x:c>
      <x:c r="F180" s="84" t="s">
        <x:v>68</x:v>
      </x:c>
      <x:c r="G180" s="84" t="s">
        <x:v>334</x:v>
      </x:c>
      <x:c r="H180" s="84" t="s">
        <x:v>335</x:v>
      </x:c>
      <x:c r="I180" s="84"/>
      <x:c r="J180" s="84" t="s">
        <x:v>19</x:v>
      </x:c>
      <x:c r="K180" s="84" t="s">
        <x:v>27</x:v>
      </x:c>
      <x:c r="L180" s="84" t="s">
        <x:v>336</x:v>
      </x:c>
      <x:c r="M180" s="85"/>
    </x:row>
    <x:row r="181" ht="36" customHeight="1">
      <x:c r="A181" s="83" t="n">
        <x:v>180</x:v>
      </x:c>
      <x:c r="B181" s="101">
        <x:v>46692.0</x:v>
      </x:c>
      <x:c r="C181" s="84" t="s">
        <x:v>133</x:v>
      </x:c>
      <x:c r="D181" s="84">
        <x:v>2027.0</x:v>
      </x:c>
      <x:c r="E181" s="84" t="s">
        <x:v>111</x:v>
      </x:c>
      <x:c r="F181" s="84" t="s">
        <x:v>277</x:v>
      </x:c>
      <x:c r="G181" s="84" t="s">
        <x:v>337</x:v>
      </x:c>
      <x:c r="H181" s="84" t="s">
        <x:v>112</x:v>
      </x:c>
      <x:c r="I181" s="84"/>
      <x:c r="J181" s="84" t="s">
        <x:v>19</x:v>
      </x:c>
      <x:c r="K181" s="84" t="s">
        <x:v>27</x:v>
      </x:c>
      <x:c r="L181" s="84" t="s">
        <x:v>338</x:v>
      </x:c>
      <x:c r="M181" s="85"/>
    </x:row>
    <x:row r="182" ht="36" customHeight="1">
      <x:c r="A182" s="83" t="n">
        <x:v>181</x:v>
      </x:c>
      <x:c r="B182" s="101">
        <x:v>46692.0</x:v>
      </x:c>
      <x:c r="C182" s="84" t="s">
        <x:v>133</x:v>
      </x:c>
      <x:c r="D182" s="84">
        <x:v>2027.0</x:v>
      </x:c>
      <x:c r="E182" s="84" t="s">
        <x:v>111</x:v>
      </x:c>
      <x:c r="F182" s="84" t="s">
        <x:v>273</x:v>
      </x:c>
      <x:c r="G182" s="84" t="s">
        <x:v>339</x:v>
      </x:c>
      <x:c r="H182" s="84" t="s">
        <x:v>306</x:v>
      </x:c>
      <x:c r="I182" s="84"/>
      <x:c r="J182" s="84" t="s">
        <x:v>19</x:v>
      </x:c>
      <x:c r="K182" s="84" t="s">
        <x:v>27</x:v>
      </x:c>
      <x:c r="L182" s="84" t="s">
        <x:v>340</x:v>
      </x:c>
      <x:c r="M182" s="85"/>
    </x:row>
    <x:row r="183" ht="36" customHeight="1">
      <x:c r="A183" s="83" t="n">
        <x:v>182</x:v>
      </x:c>
      <x:c r="B183" s="101">
        <x:v>46692.0</x:v>
      </x:c>
      <x:c r="C183" s="84" t="s">
        <x:v>133</x:v>
      </x:c>
      <x:c r="D183" s="84">
        <x:v>2027.0</x:v>
      </x:c>
      <x:c r="E183" s="84" t="s">
        <x:v>111</x:v>
      </x:c>
      <x:c r="F183" s="84" t="s">
        <x:v>341</x:v>
      </x:c>
      <x:c r="G183" s="84" t="s">
        <x:v>342</x:v>
      </x:c>
      <x:c r="H183" s="84" t="s">
        <x:v>150</x:v>
      </x:c>
      <x:c r="I183" s="84"/>
      <x:c r="J183" s="84" t="s">
        <x:v>19</x:v>
      </x:c>
      <x:c r="K183" s="84" t="s">
        <x:v>27</x:v>
      </x:c>
      <x:c r="L183" s="84" t="s">
        <x:v>343</x:v>
      </x:c>
      <x:c r="M183" s="85"/>
    </x:row>
    <x:row r="184" ht="36" customHeight="1">
      <x:c r="A184" s="83" t="n">
        <x:v>183</x:v>
      </x:c>
      <x:c r="B184" s="101">
        <x:v>46692.0</x:v>
      </x:c>
      <x:c r="C184" s="84" t="s">
        <x:v>133</x:v>
      </x:c>
      <x:c r="D184" s="84">
        <x:v>2027.0</x:v>
      </x:c>
      <x:c r="E184" s="84" t="s">
        <x:v>111</x:v>
      </x:c>
      <x:c r="F184" s="84" t="s">
        <x:v>341</x:v>
      </x:c>
      <x:c r="G184" s="84" t="s">
        <x:v>344</x:v>
      </x:c>
      <x:c r="H184" s="84" t="s">
        <x:v>150</x:v>
      </x:c>
      <x:c r="I184" s="84"/>
      <x:c r="J184" s="84" t="s">
        <x:v>19</x:v>
      </x:c>
      <x:c r="K184" s="84" t="s">
        <x:v>27</x:v>
      </x:c>
      <x:c r="L184" s="84" t="s">
        <x:v>343</x:v>
      </x:c>
      <x:c r="M184" s="85"/>
    </x:row>
    <x:row r="185" ht="36" customHeight="1">
      <x:c r="A185" s="83" t="n">
        <x:v>184</x:v>
      </x:c>
      <x:c r="B185" s="101">
        <x:v>46692.0</x:v>
      </x:c>
      <x:c r="C185" s="84" t="s">
        <x:v>133</x:v>
      </x:c>
      <x:c r="D185" s="84">
        <x:v>2027.0</x:v>
      </x:c>
      <x:c r="E185" s="84" t="s">
        <x:v>111</x:v>
      </x:c>
      <x:c r="F185" s="84" t="s">
        <x:v>341</x:v>
      </x:c>
      <x:c r="G185" s="84" t="s">
        <x:v>345</x:v>
      </x:c>
      <x:c r="H185" s="84" t="s">
        <x:v>150</x:v>
      </x:c>
      <x:c r="I185" s="84"/>
      <x:c r="J185" s="84" t="s">
        <x:v>19</x:v>
      </x:c>
      <x:c r="K185" s="84" t="s">
        <x:v>27</x:v>
      </x:c>
      <x:c r="L185" s="84" t="s">
        <x:v>343</x:v>
      </x:c>
      <x:c r="M185" s="85"/>
    </x:row>
    <x:row r="186" ht="36" customHeight="1">
      <x:c r="A186" s="83" t="n">
        <x:v>185</x:v>
      </x:c>
      <x:c r="B186" s="101">
        <x:v>46692.0</x:v>
      </x:c>
      <x:c r="C186" s="84" t="s">
        <x:v>133</x:v>
      </x:c>
      <x:c r="D186" s="84">
        <x:v>2027.0</x:v>
      </x:c>
      <x:c r="E186" s="84" t="s">
        <x:v>111</x:v>
      </x:c>
      <x:c r="F186" s="84" t="s">
        <x:v>341</x:v>
      </x:c>
      <x:c r="G186" s="84" t="s">
        <x:v>346</x:v>
      </x:c>
      <x:c r="H186" s="84" t="s">
        <x:v>150</x:v>
      </x:c>
      <x:c r="I186" s="84"/>
      <x:c r="J186" s="84" t="s">
        <x:v>19</x:v>
      </x:c>
      <x:c r="K186" s="84" t="s">
        <x:v>27</x:v>
      </x:c>
      <x:c r="L186" s="84" t="s">
        <x:v>343</x:v>
      </x:c>
      <x:c r="M186" s="85"/>
    </x:row>
    <x:row r="187" ht="36" customHeight="1">
      <x:c r="A187" s="83" t="n">
        <x:v>186</x:v>
      </x:c>
      <x:c r="B187" s="101">
        <x:v>46692.0</x:v>
      </x:c>
      <x:c r="C187" s="84" t="s">
        <x:v>133</x:v>
      </x:c>
      <x:c r="D187" s="84">
        <x:v>2027.0</x:v>
      </x:c>
      <x:c r="E187" s="84" t="s">
        <x:v>111</x:v>
      </x:c>
      <x:c r="F187" s="84" t="s">
        <x:v>341</x:v>
      </x:c>
      <x:c r="G187" s="84" t="s">
        <x:v>347</x:v>
      </x:c>
      <x:c r="H187" s="84" t="s">
        <x:v>150</x:v>
      </x:c>
      <x:c r="I187" s="84"/>
      <x:c r="J187" s="84" t="s">
        <x:v>19</x:v>
      </x:c>
      <x:c r="K187" s="84" t="s">
        <x:v>27</x:v>
      </x:c>
      <x:c r="L187" s="84" t="s">
        <x:v>343</x:v>
      </x:c>
      <x:c r="M187" s="85"/>
    </x:row>
    <x:row r="188" ht="36" customHeight="1">
      <x:c r="A188" s="83" t="n">
        <x:v>187</x:v>
      </x:c>
      <x:c r="B188" s="101">
        <x:v>46692.0</x:v>
      </x:c>
      <x:c r="C188" s="84" t="s">
        <x:v>133</x:v>
      </x:c>
      <x:c r="D188" s="84">
        <x:v>2027.0</x:v>
      </x:c>
      <x:c r="E188" s="84" t="s">
        <x:v>111</x:v>
      </x:c>
      <x:c r="F188" s="84" t="s">
        <x:v>341</x:v>
      </x:c>
      <x:c r="G188" s="84" t="s">
        <x:v>348</x:v>
      </x:c>
      <x:c r="H188" s="84" t="s">
        <x:v>150</x:v>
      </x:c>
      <x:c r="I188" s="84"/>
      <x:c r="J188" s="84" t="s">
        <x:v>19</x:v>
      </x:c>
      <x:c r="K188" s="84" t="s">
        <x:v>27</x:v>
      </x:c>
      <x:c r="L188" s="84" t="s">
        <x:v>343</x:v>
      </x:c>
      <x:c r="M188" s="85"/>
    </x:row>
    <x:row r="189" ht="36" customHeight="1">
      <x:c r="A189" s="83" t="n">
        <x:v>188</x:v>
      </x:c>
      <x:c r="B189" s="101">
        <x:v>46692.0</x:v>
      </x:c>
      <x:c r="C189" s="84" t="s">
        <x:v>133</x:v>
      </x:c>
      <x:c r="D189" s="84">
        <x:v>2027.0</x:v>
      </x:c>
      <x:c r="E189" s="84" t="s">
        <x:v>40</x:v>
      </x:c>
      <x:c r="F189" s="84" t="s">
        <x:v>40</x:v>
      </x:c>
      <x:c r="G189" s="84" t="s">
        <x:v>349</x:v>
      </x:c>
      <x:c r="H189" s="84" t="s">
        <x:v>17</x:v>
      </x:c>
      <x:c r="I189" s="84"/>
      <x:c r="J189" s="84" t="s">
        <x:v>19</x:v>
      </x:c>
      <x:c r="K189" s="84" t="s">
        <x:v>27</x:v>
      </x:c>
      <x:c r="L189" s="84" t="s">
        <x:v>350</x:v>
      </x:c>
      <x:c r="M189" s="85"/>
    </x:row>
    <x:row r="190" ht="36" customHeight="1">
      <x:c r="A190" s="83" t="n">
        <x:v>189</x:v>
      </x:c>
      <x:c r="B190" s="101">
        <x:v>46692.0</x:v>
      </x:c>
      <x:c r="C190" s="84" t="s">
        <x:v>133</x:v>
      </x:c>
      <x:c r="D190" s="84">
        <x:v>2027.0</x:v>
      </x:c>
      <x:c r="E190" s="84" t="s">
        <x:v>48</x:v>
      </x:c>
      <x:c r="F190" s="84" t="s">
        <x:v>68</x:v>
      </x:c>
      <x:c r="G190" s="84" t="s">
        <x:v>351</x:v>
      </x:c>
      <x:c r="H190" s="84" t="s">
        <x:v>48</x:v>
      </x:c>
      <x:c r="I190" s="84"/>
      <x:c r="J190" s="84" t="s">
        <x:v>19</x:v>
      </x:c>
      <x:c r="K190" s="84" t="s">
        <x:v>76</x:v>
      </x:c>
      <x:c r="L190" s="84" t="s">
        <x:v>336</x:v>
      </x:c>
      <x:c r="M190" s="85"/>
    </x:row>
    <x:row r="191" ht="36" customHeight="1">
      <x:c r="A191" s="83" t="n">
        <x:v>190</x:v>
      </x:c>
      <x:c r="B191" s="101">
        <x:v>46722.0</x:v>
      </x:c>
      <x:c r="C191" s="84" t="s">
        <x:v>156</x:v>
      </x:c>
      <x:c r="D191" s="84">
        <x:v>2027.0</x:v>
      </x:c>
      <x:c r="E191" s="84" t="s">
        <x:v>111</x:v>
      </x:c>
      <x:c r="F191" s="84" t="s">
        <x:v>309</x:v>
      </x:c>
      <x:c r="G191" s="84" t="s">
        <x:v>352</x:v>
      </x:c>
      <x:c r="H191" s="84" t="s">
        <x:v>311</x:v>
      </x:c>
      <x:c r="I191" s="84"/>
      <x:c r="J191" s="84" t="s">
        <x:v>19</x:v>
      </x:c>
      <x:c r="K191" s="84" t="s">
        <x:v>27</x:v>
      </x:c>
      <x:c r="L191" s="84" t="s">
        <x:v>353</x:v>
      </x:c>
      <x:c r="M191" s="85"/>
    </x:row>
    <x:row r="192" ht="36" customHeight="1">
      <x:c r="A192" s="83" t="n">
        <x:v>191</x:v>
      </x:c>
      <x:c r="B192" s="101">
        <x:v>46722.0</x:v>
      </x:c>
      <x:c r="C192" s="84" t="s">
        <x:v>156</x:v>
      </x:c>
      <x:c r="D192" s="84">
        <x:v>2027.0</x:v>
      </x:c>
      <x:c r="E192" s="84" t="s">
        <x:v>111</x:v>
      </x:c>
      <x:c r="F192" s="84" t="s">
        <x:v>309</x:v>
      </x:c>
      <x:c r="G192" s="84" t="s">
        <x:v>354</x:v>
      </x:c>
      <x:c r="H192" s="84" t="s">
        <x:v>311</x:v>
      </x:c>
      <x:c r="I192" s="84"/>
      <x:c r="J192" s="84" t="s">
        <x:v>19</x:v>
      </x:c>
      <x:c r="K192" s="84" t="s">
        <x:v>27</x:v>
      </x:c>
      <x:c r="L192" s="84" t="s">
        <x:v>353</x:v>
      </x:c>
      <x:c r="M192" s="85"/>
    </x:row>
    <x:row r="193" ht="36" customHeight="1">
      <x:c r="A193" s="83" t="n">
        <x:v>192</x:v>
      </x:c>
      <x:c r="B193" s="101">
        <x:v>46722.0</x:v>
      </x:c>
      <x:c r="C193" s="84" t="s">
        <x:v>156</x:v>
      </x:c>
      <x:c r="D193" s="84">
        <x:v>2027.0</x:v>
      </x:c>
      <x:c r="E193" s="84" t="s">
        <x:v>111</x:v>
      </x:c>
      <x:c r="F193" s="84" t="s">
        <x:v>309</x:v>
      </x:c>
      <x:c r="G193" s="84" t="s">
        <x:v>355</x:v>
      </x:c>
      <x:c r="H193" s="84" t="s">
        <x:v>311</x:v>
      </x:c>
      <x:c r="I193" s="84"/>
      <x:c r="J193" s="84" t="s">
        <x:v>19</x:v>
      </x:c>
      <x:c r="K193" s="84" t="s">
        <x:v>27</x:v>
      </x:c>
      <x:c r="L193" s="84" t="s">
        <x:v>353</x:v>
      </x:c>
      <x:c r="M193" s="85"/>
    </x:row>
    <x:row r="194" ht="36" customHeight="1">
      <x:c r="A194" s="83" t="n">
        <x:v>193</x:v>
      </x:c>
      <x:c r="B194" s="101">
        <x:v>46722.0</x:v>
      </x:c>
      <x:c r="C194" s="84" t="s">
        <x:v>156</x:v>
      </x:c>
      <x:c r="D194" s="84">
        <x:v>2027.0</x:v>
      </x:c>
      <x:c r="E194" s="84" t="s">
        <x:v>111</x:v>
      </x:c>
      <x:c r="F194" s="84" t="s">
        <x:v>309</x:v>
      </x:c>
      <x:c r="G194" s="84" t="s">
        <x:v>356</x:v>
      </x:c>
      <x:c r="H194" s="84" t="s">
        <x:v>311</x:v>
      </x:c>
      <x:c r="I194" s="84"/>
      <x:c r="J194" s="84" t="s">
        <x:v>19</x:v>
      </x:c>
      <x:c r="K194" s="84" t="s">
        <x:v>27</x:v>
      </x:c>
      <x:c r="L194" s="84" t="s">
        <x:v>353</x:v>
      </x:c>
      <x:c r="M194" s="85"/>
    </x:row>
    <x:row r="195" ht="36" customHeight="1">
      <x:c r="A195" s="83" t="n">
        <x:v>194</x:v>
      </x:c>
      <x:c r="B195" s="101">
        <x:v>46722.0</x:v>
      </x:c>
      <x:c r="C195" s="84" t="s">
        <x:v>156</x:v>
      </x:c>
      <x:c r="D195" s="84">
        <x:v>2027.0</x:v>
      </x:c>
      <x:c r="E195" s="84" t="s">
        <x:v>111</x:v>
      </x:c>
      <x:c r="F195" s="84" t="s">
        <x:v>341</x:v>
      </x:c>
      <x:c r="G195" s="84" t="s">
        <x:v>357</x:v>
      </x:c>
      <x:c r="H195" s="84" t="s">
        <x:v>112</x:v>
      </x:c>
      <x:c r="I195" s="84"/>
      <x:c r="J195" s="84" t="s">
        <x:v>19</x:v>
      </x:c>
      <x:c r="K195" s="84" t="s">
        <x:v>27</x:v>
      </x:c>
      <x:c r="L195" s="84" t="s">
        <x:v>340</x:v>
      </x:c>
      <x:c r="M195" s="85"/>
    </x:row>
    <x:row r="196" ht="36" customHeight="1">
      <x:c r="A196" s="83" t="n">
        <x:v>195</x:v>
      </x:c>
      <x:c r="B196" s="101">
        <x:v>46722.0</x:v>
      </x:c>
      <x:c r="C196" s="84" t="s">
        <x:v>156</x:v>
      </x:c>
      <x:c r="D196" s="84">
        <x:v>2027.0</x:v>
      </x:c>
      <x:c r="E196" s="84" t="s">
        <x:v>111</x:v>
      </x:c>
      <x:c r="F196" s="84" t="s">
        <x:v>341</x:v>
      </x:c>
      <x:c r="G196" s="84" t="s">
        <x:v>358</x:v>
      </x:c>
      <x:c r="H196" s="84" t="s">
        <x:v>112</x:v>
      </x:c>
      <x:c r="I196" s="84"/>
      <x:c r="J196" s="84" t="s">
        <x:v>19</x:v>
      </x:c>
      <x:c r="K196" s="84" t="s">
        <x:v>27</x:v>
      </x:c>
      <x:c r="L196" s="84" t="s">
        <x:v>340</x:v>
      </x:c>
      <x:c r="M196" s="85"/>
    </x:row>
    <x:row r="197" ht="36" customHeight="1">
      <x:c r="A197" s="83" t="n">
        <x:v>196</x:v>
      </x:c>
      <x:c r="B197" s="101">
        <x:v>46722.0</x:v>
      </x:c>
      <x:c r="C197" s="84" t="s">
        <x:v>156</x:v>
      </x:c>
      <x:c r="D197" s="84">
        <x:v>2027.0</x:v>
      </x:c>
      <x:c r="E197" s="84" t="s">
        <x:v>40</x:v>
      </x:c>
      <x:c r="F197" s="84" t="s">
        <x:v>40</x:v>
      </x:c>
      <x:c r="G197" s="84" t="s">
        <x:v>359</x:v>
      </x:c>
      <x:c r="H197" s="84" t="s">
        <x:v>17</x:v>
      </x:c>
      <x:c r="I197" s="84"/>
      <x:c r="J197" s="84" t="s">
        <x:v>19</x:v>
      </x:c>
      <x:c r="K197" s="84" t="s">
        <x:v>27</x:v>
      </x:c>
      <x:c r="L197" s="84" t="s">
        <x:v>360</x:v>
      </x:c>
      <x:c r="M197" s="85"/>
    </x:row>
    <x:row r="198" ht="36" customHeight="1">
      <x:c r="A198" s="83" t="n">
        <x:v>197</x:v>
      </x:c>
      <x:c r="B198" s="101">
        <x:v>46722.0</x:v>
      </x:c>
      <x:c r="C198" s="84" t="s">
        <x:v>156</x:v>
      </x:c>
      <x:c r="D198" s="84">
        <x:v>2027.0</x:v>
      </x:c>
      <x:c r="E198" s="84" t="s">
        <x:v>40</x:v>
      </x:c>
      <x:c r="F198" s="84" t="s">
        <x:v>40</x:v>
      </x:c>
      <x:c r="G198" s="84" t="s">
        <x:v>361</x:v>
      </x:c>
      <x:c r="H198" s="84" t="s">
        <x:v>17</x:v>
      </x:c>
      <x:c r="I198" s="84"/>
      <x:c r="J198" s="84" t="s">
        <x:v>19</x:v>
      </x:c>
      <x:c r="K198" s="84" t="s">
        <x:v>27</x:v>
      </x:c>
      <x:c r="L198" s="84" t="s">
        <x:v>360</x:v>
      </x:c>
      <x:c r="M198" s="85"/>
    </x:row>
    <x:row r="199" ht="36" customHeight="1">
      <x:c r="A199" s="83" t="n">
        <x:v>198</x:v>
      </x:c>
      <x:c r="B199" s="101">
        <x:v>46722.0</x:v>
      </x:c>
      <x:c r="C199" s="84" t="s">
        <x:v>156</x:v>
      </x:c>
      <x:c r="D199" s="84">
        <x:v>2027.0</x:v>
      </x:c>
      <x:c r="E199" s="84" t="s">
        <x:v>40</x:v>
      </x:c>
      <x:c r="F199" s="84" t="s">
        <x:v>40</x:v>
      </x:c>
      <x:c r="G199" s="84" t="s">
        <x:v>362</x:v>
      </x:c>
      <x:c r="H199" s="84" t="s">
        <x:v>17</x:v>
      </x:c>
      <x:c r="I199" s="84"/>
      <x:c r="J199" s="84" t="s">
        <x:v>19</x:v>
      </x:c>
      <x:c r="K199" s="84" t="s">
        <x:v>27</x:v>
      </x:c>
      <x:c r="L199" s="84" t="s">
        <x:v>360</x:v>
      </x:c>
      <x:c r="M199" s="85"/>
    </x:row>
    <x:row r="200" ht="36" customHeight="1">
      <x:c r="A200" s="83" t="n">
        <x:v>199</x:v>
      </x:c>
      <x:c r="B200" s="101">
        <x:v>46722.0</x:v>
      </x:c>
      <x:c r="C200" s="84" t="s">
        <x:v>156</x:v>
      </x:c>
      <x:c r="D200" s="84">
        <x:v>2027.0</x:v>
      </x:c>
      <x:c r="E200" s="84" t="s">
        <x:v>40</x:v>
      </x:c>
      <x:c r="F200" s="84" t="s">
        <x:v>40</x:v>
      </x:c>
      <x:c r="G200" s="84" t="s">
        <x:v>363</x:v>
      </x:c>
      <x:c r="H200" s="84" t="s">
        <x:v>17</x:v>
      </x:c>
      <x:c r="I200" s="84"/>
      <x:c r="J200" s="84" t="s">
        <x:v>19</x:v>
      </x:c>
      <x:c r="K200" s="84" t="s">
        <x:v>27</x:v>
      </x:c>
      <x:c r="L200" s="84" t="s">
        <x:v>360</x:v>
      </x:c>
      <x:c r="M200" s="85"/>
    </x:row>
    <x:row r="201" ht="36" customHeight="1">
      <x:c r="A201" s="83" t="n">
        <x:v>200</x:v>
      </x:c>
      <x:c r="B201" s="101">
        <x:v>46722.0</x:v>
      </x:c>
      <x:c r="C201" s="84" t="s">
        <x:v>156</x:v>
      </x:c>
      <x:c r="D201" s="84">
        <x:v>2027.0</x:v>
      </x:c>
      <x:c r="E201" s="84" t="s">
        <x:v>40</x:v>
      </x:c>
      <x:c r="F201" s="84" t="s">
        <x:v>40</x:v>
      </x:c>
      <x:c r="G201" s="84" t="s">
        <x:v>364</x:v>
      </x:c>
      <x:c r="H201" s="84" t="s">
        <x:v>17</x:v>
      </x:c>
      <x:c r="I201" s="84"/>
      <x:c r="J201" s="84" t="s">
        <x:v>19</x:v>
      </x:c>
      <x:c r="K201" s="84" t="s">
        <x:v>27</x:v>
      </x:c>
      <x:c r="L201" s="84" t="s">
        <x:v>360</x:v>
      </x:c>
      <x:c r="M201" s="85"/>
    </x:row>
    <x:row r="202" ht="36" customHeight="1">
      <x:c r="A202" s="83" t="n">
        <x:v>201</x:v>
      </x:c>
      <x:c r="B202" s="101">
        <x:v>46722.0</x:v>
      </x:c>
      <x:c r="C202" s="84" t="s">
        <x:v>156</x:v>
      </x:c>
      <x:c r="D202" s="84">
        <x:v>2027.0</x:v>
      </x:c>
      <x:c r="E202" s="84" t="s">
        <x:v>40</x:v>
      </x:c>
      <x:c r="F202" s="84" t="s">
        <x:v>40</x:v>
      </x:c>
      <x:c r="G202" s="84" t="s">
        <x:v>365</x:v>
      </x:c>
      <x:c r="H202" s="84" t="s">
        <x:v>17</x:v>
      </x:c>
      <x:c r="I202" s="84"/>
      <x:c r="J202" s="84" t="s">
        <x:v>19</x:v>
      </x:c>
      <x:c r="K202" s="84" t="s">
        <x:v>27</x:v>
      </x:c>
      <x:c r="L202" s="84" t="s">
        <x:v>360</x:v>
      </x:c>
      <x:c r="M202" s="85"/>
    </x:row>
    <x:row r="203" ht="36" customHeight="1">
      <x:c r="A203" s="83" t="n">
        <x:v>202</x:v>
      </x:c>
      <x:c r="B203" s="101">
        <x:v>46722.0</x:v>
      </x:c>
      <x:c r="C203" s="84" t="s">
        <x:v>156</x:v>
      </x:c>
      <x:c r="D203" s="84">
        <x:v>2027.0</x:v>
      </x:c>
      <x:c r="E203" s="84" t="s">
        <x:v>111</x:v>
      </x:c>
      <x:c r="F203" s="84" t="s">
        <x:v>341</x:v>
      </x:c>
      <x:c r="G203" s="84" t="s">
        <x:v>366</x:v>
      </x:c>
      <x:c r="H203" s="84" t="s">
        <x:v>367</x:v>
      </x:c>
      <x:c r="I203" s="84"/>
      <x:c r="J203" s="84" t="s">
        <x:v>19</x:v>
      </x:c>
      <x:c r="K203" s="84" t="s">
        <x:v>27</x:v>
      </x:c>
      <x:c r="L203" s="84" t="s">
        <x:v>360</x:v>
      </x:c>
      <x:c r="M203" s="85"/>
    </x:row>
    <x:row r="204" ht="36" customHeight="1">
      <x:c r="A204" s="83" t="n">
        <x:v>203</x:v>
      </x:c>
      <x:c r="B204" s="101">
        <x:v>46753.0</x:v>
      </x:c>
      <x:c r="C204" s="84" t="s">
        <x:v>177</x:v>
      </x:c>
      <x:c r="D204" s="84">
        <x:v>2028.0</x:v>
      </x:c>
      <x:c r="E204" s="84" t="s">
        <x:v>111</x:v>
      </x:c>
      <x:c r="F204" s="84" t="s">
        <x:v>277</x:v>
      </x:c>
      <x:c r="G204" s="84" t="s">
        <x:v>315</x:v>
      </x:c>
      <x:c r="H204" s="84" t="s">
        <x:v>112</x:v>
      </x:c>
      <x:c r="I204" s="84"/>
      <x:c r="J204" s="84" t="s">
        <x:v>19</x:v>
      </x:c>
      <x:c r="K204" s="84" t="s">
        <x:v>27</x:v>
      </x:c>
      <x:c r="L204" s="84" t="s">
        <x:v>368</x:v>
      </x:c>
      <x:c r="M204" s="85"/>
    </x:row>
    <x:row r="205" ht="36" customHeight="1">
      <x:c r="A205" s="83" t="n">
        <x:v>204</x:v>
      </x:c>
      <x:c r="B205" s="101">
        <x:v>46753.0</x:v>
      </x:c>
      <x:c r="C205" s="84" t="s">
        <x:v>177</x:v>
      </x:c>
      <x:c r="D205" s="84">
        <x:v>2028.0</x:v>
      </x:c>
      <x:c r="E205" s="84" t="s">
        <x:v>111</x:v>
      </x:c>
      <x:c r="F205" s="84" t="s">
        <x:v>273</x:v>
      </x:c>
      <x:c r="G205" s="84" t="s">
        <x:v>369</x:v>
      </x:c>
      <x:c r="H205" s="84" t="s">
        <x:v>306</x:v>
      </x:c>
      <x:c r="I205" s="84"/>
      <x:c r="J205" s="84" t="s">
        <x:v>19</x:v>
      </x:c>
      <x:c r="K205" s="84" t="s">
        <x:v>27</x:v>
      </x:c>
      <x:c r="L205" s="84" t="s">
        <x:v>368</x:v>
      </x:c>
      <x:c r="M205" s="85"/>
    </x:row>
    <x:row r="206" ht="36" customHeight="1">
      <x:c r="A206" s="83" t="n">
        <x:v>205</x:v>
      </x:c>
      <x:c r="B206" s="101">
        <x:v>46753.0</x:v>
      </x:c>
      <x:c r="C206" s="84" t="s">
        <x:v>177</x:v>
      </x:c>
      <x:c r="D206" s="84">
        <x:v>2028.0</x:v>
      </x:c>
      <x:c r="E206" s="84" t="s">
        <x:v>111</x:v>
      </x:c>
      <x:c r="F206" s="84" t="s">
        <x:v>341</x:v>
      </x:c>
      <x:c r="G206" s="84" t="s">
        <x:v>370</x:v>
      </x:c>
      <x:c r="H206" s="84" t="s">
        <x:v>112</x:v>
      </x:c>
      <x:c r="I206" s="84"/>
      <x:c r="J206" s="84" t="s">
        <x:v>19</x:v>
      </x:c>
      <x:c r="K206" s="84" t="s">
        <x:v>27</x:v>
      </x:c>
      <x:c r="L206" s="84" t="s">
        <x:v>371</x:v>
      </x:c>
      <x:c r="M206" s="85"/>
    </x:row>
    <x:row r="207" ht="36" customHeight="1">
      <x:c r="A207" s="83" t="n">
        <x:v>206</x:v>
      </x:c>
      <x:c r="B207" s="101">
        <x:v>46753.0</x:v>
      </x:c>
      <x:c r="C207" s="84" t="s">
        <x:v>177</x:v>
      </x:c>
      <x:c r="D207" s="84">
        <x:v>2028.0</x:v>
      </x:c>
      <x:c r="E207" s="84" t="s">
        <x:v>111</x:v>
      </x:c>
      <x:c r="F207" s="84" t="s">
        <x:v>341</x:v>
      </x:c>
      <x:c r="G207" s="84" t="s">
        <x:v>372</x:v>
      </x:c>
      <x:c r="H207" s="84" t="s">
        <x:v>112</x:v>
      </x:c>
      <x:c r="I207" s="84"/>
      <x:c r="J207" s="84" t="s">
        <x:v>19</x:v>
      </x:c>
      <x:c r="K207" s="84" t="s">
        <x:v>27</x:v>
      </x:c>
      <x:c r="L207" s="84" t="s">
        <x:v>371</x:v>
      </x:c>
      <x:c r="M207" s="85"/>
    </x:row>
    <x:row r="208" ht="36" customHeight="1">
      <x:c r="A208" s="83" t="n">
        <x:v>207</x:v>
      </x:c>
      <x:c r="B208" s="101">
        <x:v>46753.0</x:v>
      </x:c>
      <x:c r="C208" s="84" t="s">
        <x:v>177</x:v>
      </x:c>
      <x:c r="D208" s="84">
        <x:v>2028.0</x:v>
      </x:c>
      <x:c r="E208" s="84" t="s">
        <x:v>111</x:v>
      </x:c>
      <x:c r="F208" s="84" t="s">
        <x:v>292</x:v>
      </x:c>
      <x:c r="G208" s="84" t="s">
        <x:v>373</x:v>
      </x:c>
      <x:c r="H208" s="84" t="s">
        <x:v>112</x:v>
      </x:c>
      <x:c r="I208" s="84"/>
      <x:c r="J208" s="84" t="s">
        <x:v>19</x:v>
      </x:c>
      <x:c r="K208" s="84" t="s">
        <x:v>27</x:v>
      </x:c>
      <x:c r="L208" s="84" t="s">
        <x:v>374</x:v>
      </x:c>
      <x:c r="M208" s="85"/>
    </x:row>
    <x:row r="209" ht="36" customHeight="1">
      <x:c r="A209" s="83" t="n">
        <x:v>208</x:v>
      </x:c>
      <x:c r="B209" s="101">
        <x:v>46753.0</x:v>
      </x:c>
      <x:c r="C209" s="84" t="s">
        <x:v>177</x:v>
      </x:c>
      <x:c r="D209" s="84">
        <x:v>2028.0</x:v>
      </x:c>
      <x:c r="E209" s="84" t="s">
        <x:v>111</x:v>
      </x:c>
      <x:c r="F209" s="84" t="s">
        <x:v>292</x:v>
      </x:c>
      <x:c r="G209" s="84" t="s">
        <x:v>375</x:v>
      </x:c>
      <x:c r="H209" s="84" t="s">
        <x:v>112</x:v>
      </x:c>
      <x:c r="I209" s="84"/>
      <x:c r="J209" s="84" t="s">
        <x:v>19</x:v>
      </x:c>
      <x:c r="K209" s="84" t="s">
        <x:v>27</x:v>
      </x:c>
      <x:c r="L209" s="84" t="s">
        <x:v>374</x:v>
      </x:c>
      <x:c r="M209" s="85"/>
    </x:row>
    <x:row r="210" ht="36" customHeight="1">
      <x:c r="A210" s="83" t="n">
        <x:v>209</x:v>
      </x:c>
      <x:c r="B210" s="101">
        <x:v>46753.0</x:v>
      </x:c>
      <x:c r="C210" s="84" t="s">
        <x:v>177</x:v>
      </x:c>
      <x:c r="D210" s="84">
        <x:v>2028.0</x:v>
      </x:c>
      <x:c r="E210" s="84" t="s">
        <x:v>111</x:v>
      </x:c>
      <x:c r="F210" s="84" t="s">
        <x:v>230</x:v>
      </x:c>
      <x:c r="G210" s="84" t="s">
        <x:v>376</x:v>
      </x:c>
      <x:c r="H210" s="84" t="s">
        <x:v>150</x:v>
      </x:c>
      <x:c r="I210" s="84"/>
      <x:c r="J210" s="84" t="s">
        <x:v>19</x:v>
      </x:c>
      <x:c r="K210" s="84" t="s">
        <x:v>27</x:v>
      </x:c>
      <x:c r="L210" s="84" t="s">
        <x:v>377</x:v>
      </x:c>
      <x:c r="M210" s="85"/>
    </x:row>
    <x:row r="211" ht="36" customHeight="1">
      <x:c r="A211" s="83" t="n">
        <x:v>210</x:v>
      </x:c>
      <x:c r="B211" s="101">
        <x:v>46753.0</x:v>
      </x:c>
      <x:c r="C211" s="84" t="s">
        <x:v>177</x:v>
      </x:c>
      <x:c r="D211" s="84">
        <x:v>2028.0</x:v>
      </x:c>
      <x:c r="E211" s="84" t="s">
        <x:v>48</x:v>
      </x:c>
      <x:c r="F211" s="84" t="s">
        <x:v>68</x:v>
      </x:c>
      <x:c r="G211" s="84" t="s">
        <x:v>378</x:v>
      </x:c>
      <x:c r="H211" s="84" t="s">
        <x:v>335</x:v>
      </x:c>
      <x:c r="I211" s="84"/>
      <x:c r="J211" s="84" t="s">
        <x:v>19</x:v>
      </x:c>
      <x:c r="K211" s="84" t="s">
        <x:v>76</x:v>
      </x:c>
      <x:c r="L211" s="84" t="s">
        <x:v>379</x:v>
      </x:c>
      <x:c r="M211" s="85"/>
    </x:row>
    <x:row r="212" ht="36" customHeight="1">
      <x:c r="A212" s="83" t="n">
        <x:v>211</x:v>
      </x:c>
      <x:c r="B212" s="101">
        <x:v>46784.0</x:v>
      </x:c>
      <x:c r="C212" s="84" t="s">
        <x:v>194</x:v>
      </x:c>
      <x:c r="D212" s="84">
        <x:v>2028.0</x:v>
      </x:c>
      <x:c r="E212" s="84" t="s">
        <x:v>111</x:v>
      </x:c>
      <x:c r="F212" s="84" t="s">
        <x:v>273</x:v>
      </x:c>
      <x:c r="G212" s="84" t="s">
        <x:v>380</x:v>
      </x:c>
      <x:c r="H212" s="84" t="s">
        <x:v>381</x:v>
      </x:c>
      <x:c r="I212" s="84"/>
      <x:c r="J212" s="84" t="s">
        <x:v>19</x:v>
      </x:c>
      <x:c r="K212" s="84" t="s">
        <x:v>27</x:v>
      </x:c>
      <x:c r="L212" s="84" t="s">
        <x:v>382</x:v>
      </x:c>
      <x:c r="M212" s="85"/>
    </x:row>
    <x:row r="213" ht="36" customHeight="1">
      <x:c r="A213" s="83" t="n">
        <x:v>212</x:v>
      </x:c>
      <x:c r="B213" s="101">
        <x:v>46784.0</x:v>
      </x:c>
      <x:c r="C213" s="84" t="s">
        <x:v>194</x:v>
      </x:c>
      <x:c r="D213" s="84">
        <x:v>2028.0</x:v>
      </x:c>
      <x:c r="E213" s="84" t="s">
        <x:v>111</x:v>
      </x:c>
      <x:c r="F213" s="84" t="s">
        <x:v>273</x:v>
      </x:c>
      <x:c r="G213" s="84" t="s">
        <x:v>383</x:v>
      </x:c>
      <x:c r="H213" s="84" t="s">
        <x:v>381</x:v>
      </x:c>
      <x:c r="I213" s="84"/>
      <x:c r="J213" s="84" t="s">
        <x:v>19</x:v>
      </x:c>
      <x:c r="K213" s="84" t="s">
        <x:v>27</x:v>
      </x:c>
      <x:c r="L213" s="84" t="s">
        <x:v>382</x:v>
      </x:c>
      <x:c r="M213" s="85"/>
    </x:row>
    <x:row r="214" ht="36" customHeight="1">
      <x:c r="A214" s="83" t="n">
        <x:v>213</x:v>
      </x:c>
      <x:c r="B214" s="101">
        <x:v>46784.0</x:v>
      </x:c>
      <x:c r="C214" s="84" t="s">
        <x:v>194</x:v>
      </x:c>
      <x:c r="D214" s="84">
        <x:v>2028.0</x:v>
      </x:c>
      <x:c r="E214" s="84" t="s">
        <x:v>111</x:v>
      </x:c>
      <x:c r="F214" s="84" t="s">
        <x:v>273</x:v>
      </x:c>
      <x:c r="G214" s="84" t="s">
        <x:v>384</x:v>
      </x:c>
      <x:c r="H214" s="84" t="s">
        <x:v>381</x:v>
      </x:c>
      <x:c r="I214" s="84"/>
      <x:c r="J214" s="84" t="s">
        <x:v>19</x:v>
      </x:c>
      <x:c r="K214" s="84" t="s">
        <x:v>27</x:v>
      </x:c>
      <x:c r="L214" s="84" t="s">
        <x:v>382</x:v>
      </x:c>
      <x:c r="M214" s="85"/>
    </x:row>
    <x:row r="215" ht="36" customHeight="1">
      <x:c r="A215" s="83" t="n">
        <x:v>214</x:v>
      </x:c>
      <x:c r="B215" s="101">
        <x:v>46784.0</x:v>
      </x:c>
      <x:c r="C215" s="84" t="s">
        <x:v>194</x:v>
      </x:c>
      <x:c r="D215" s="84">
        <x:v>2028.0</x:v>
      </x:c>
      <x:c r="E215" s="84" t="s">
        <x:v>111</x:v>
      </x:c>
      <x:c r="F215" s="84" t="s">
        <x:v>341</x:v>
      </x:c>
      <x:c r="G215" s="84" t="s">
        <x:v>385</x:v>
      </x:c>
      <x:c r="H215" s="84" t="s">
        <x:v>112</x:v>
      </x:c>
      <x:c r="I215" s="84"/>
      <x:c r="J215" s="84" t="s">
        <x:v>19</x:v>
      </x:c>
      <x:c r="K215" s="84" t="s">
        <x:v>27</x:v>
      </x:c>
      <x:c r="L215" s="84" t="s">
        <x:v>386</x:v>
      </x:c>
      <x:c r="M215" s="85"/>
    </x:row>
    <x:row r="216" ht="36" customHeight="1">
      <x:c r="A216" s="83" t="n">
        <x:v>215</x:v>
      </x:c>
      <x:c r="B216" s="101">
        <x:v>46784.0</x:v>
      </x:c>
      <x:c r="C216" s="84" t="s">
        <x:v>194</x:v>
      </x:c>
      <x:c r="D216" s="84">
        <x:v>2028.0</x:v>
      </x:c>
      <x:c r="E216" s="84" t="s">
        <x:v>111</x:v>
      </x:c>
      <x:c r="F216" s="84" t="s">
        <x:v>292</x:v>
      </x:c>
      <x:c r="G216" s="84" t="s">
        <x:v>373</x:v>
      </x:c>
      <x:c r="H216" s="84" t="s">
        <x:v>112</x:v>
      </x:c>
      <x:c r="I216" s="84"/>
      <x:c r="J216" s="84" t="s">
        <x:v>19</x:v>
      </x:c>
      <x:c r="K216" s="84" t="s">
        <x:v>27</x:v>
      </x:c>
      <x:c r="L216" s="84" t="s">
        <x:v>387</x:v>
      </x:c>
      <x:c r="M216" s="85"/>
    </x:row>
    <x:row r="217" ht="36" customHeight="1">
      <x:c r="A217" s="83" t="n">
        <x:v>216</x:v>
      </x:c>
      <x:c r="B217" s="101">
        <x:v>46784.0</x:v>
      </x:c>
      <x:c r="C217" s="84" t="s">
        <x:v>194</x:v>
      </x:c>
      <x:c r="D217" s="84">
        <x:v>2028.0</x:v>
      </x:c>
      <x:c r="E217" s="84" t="s">
        <x:v>111</x:v>
      </x:c>
      <x:c r="F217" s="84" t="s">
        <x:v>288</x:v>
      </x:c>
      <x:c r="G217" s="84" t="s">
        <x:v>289</x:v>
      </x:c>
      <x:c r="H217" s="84" t="s">
        <x:v>136</x:v>
      </x:c>
      <x:c r="I217" s="84"/>
      <x:c r="J217" s="84" t="s">
        <x:v>19</x:v>
      </x:c>
      <x:c r="K217" s="84" t="s">
        <x:v>27</x:v>
      </x:c>
      <x:c r="L217" s="84" t="s">
        <x:v>388</x:v>
      </x:c>
      <x:c r="M217" s="85"/>
    </x:row>
    <x:row r="218" ht="36" customHeight="1">
      <x:c r="A218" s="83" t="n">
        <x:v>217</x:v>
      </x:c>
      <x:c r="B218" s="101">
        <x:v>46784.0</x:v>
      </x:c>
      <x:c r="C218" s="84" t="s">
        <x:v>194</x:v>
      </x:c>
      <x:c r="D218" s="84">
        <x:v>2028.0</x:v>
      </x:c>
      <x:c r="E218" s="84" t="s">
        <x:v>111</x:v>
      </x:c>
      <x:c r="F218" s="84" t="s">
        <x:v>389</x:v>
      </x:c>
      <x:c r="G218" s="84" t="s">
        <x:v>390</x:v>
      </x:c>
      <x:c r="H218" s="84" t="s">
        <x:v>294</x:v>
      </x:c>
      <x:c r="I218" s="84"/>
      <x:c r="J218" s="84" t="s">
        <x:v>19</x:v>
      </x:c>
      <x:c r="K218" s="84" t="s">
        <x:v>27</x:v>
      </x:c>
      <x:c r="L218" s="84" t="s">
        <x:v>391</x:v>
      </x:c>
      <x:c r="M218" s="85"/>
    </x:row>
    <x:row r="219" ht="36" customHeight="1">
      <x:c r="A219" s="83" t="n">
        <x:v>218</x:v>
      </x:c>
      <x:c r="B219" s="101">
        <x:v>46784.0</x:v>
      </x:c>
      <x:c r="C219" s="84" t="s">
        <x:v>194</x:v>
      </x:c>
      <x:c r="D219" s="84">
        <x:v>2028.0</x:v>
      </x:c>
      <x:c r="E219" s="84" t="s">
        <x:v>111</x:v>
      </x:c>
      <x:c r="F219" s="84" t="s">
        <x:v>389</x:v>
      </x:c>
      <x:c r="G219" s="84" t="s">
        <x:v>392</x:v>
      </x:c>
      <x:c r="H219" s="84" t="s">
        <x:v>294</x:v>
      </x:c>
      <x:c r="I219" s="84"/>
      <x:c r="J219" s="84" t="s">
        <x:v>19</x:v>
      </x:c>
      <x:c r="K219" s="84" t="s">
        <x:v>27</x:v>
      </x:c>
      <x:c r="L219" s="84" t="s">
        <x:v>391</x:v>
      </x:c>
      <x:c r="M219" s="85"/>
    </x:row>
    <x:row r="220" ht="36" customHeight="1">
      <x:c r="A220" s="83" t="n">
        <x:v>219</x:v>
      </x:c>
      <x:c r="B220" s="101">
        <x:v>46784.0</x:v>
      </x:c>
      <x:c r="C220" s="84" t="s">
        <x:v>194</x:v>
      </x:c>
      <x:c r="D220" s="84">
        <x:v>2028.0</x:v>
      </x:c>
      <x:c r="E220" s="84" t="s">
        <x:v>111</x:v>
      </x:c>
      <x:c r="F220" s="84" t="s">
        <x:v>389</x:v>
      </x:c>
      <x:c r="G220" s="84" t="s">
        <x:v>393</x:v>
      </x:c>
      <x:c r="H220" s="84" t="s">
        <x:v>294</x:v>
      </x:c>
      <x:c r="I220" s="84"/>
      <x:c r="J220" s="84" t="s">
        <x:v>19</x:v>
      </x:c>
      <x:c r="K220" s="84" t="s">
        <x:v>27</x:v>
      </x:c>
      <x:c r="L220" s="84" t="s">
        <x:v>391</x:v>
      </x:c>
      <x:c r="M220" s="85"/>
    </x:row>
    <x:row r="221" ht="36" customHeight="1">
      <x:c r="A221" s="83" t="n">
        <x:v>220</x:v>
      </x:c>
      <x:c r="B221" s="101">
        <x:v>46784.0</x:v>
      </x:c>
      <x:c r="C221" s="84" t="s">
        <x:v>194</x:v>
      </x:c>
      <x:c r="D221" s="84">
        <x:v>2028.0</x:v>
      </x:c>
      <x:c r="E221" s="84" t="s">
        <x:v>111</x:v>
      </x:c>
      <x:c r="F221" s="84" t="s">
        <x:v>389</x:v>
      </x:c>
      <x:c r="G221" s="84" t="s">
        <x:v>394</x:v>
      </x:c>
      <x:c r="H221" s="84" t="s">
        <x:v>294</x:v>
      </x:c>
      <x:c r="I221" s="84"/>
      <x:c r="J221" s="84" t="s">
        <x:v>19</x:v>
      </x:c>
      <x:c r="K221" s="84" t="s">
        <x:v>27</x:v>
      </x:c>
      <x:c r="L221" s="84" t="s">
        <x:v>391</x:v>
      </x:c>
      <x:c r="M221" s="85"/>
    </x:row>
    <x:row r="222" ht="36" customHeight="1">
      <x:c r="A222" s="83" t="n">
        <x:v>221</x:v>
      </x:c>
      <x:c r="B222" s="101">
        <x:v>46784.0</x:v>
      </x:c>
      <x:c r="C222" s="84" t="s">
        <x:v>194</x:v>
      </x:c>
      <x:c r="D222" s="84">
        <x:v>2028.0</x:v>
      </x:c>
      <x:c r="E222" s="84" t="s">
        <x:v>111</x:v>
      </x:c>
      <x:c r="F222" s="84" t="s">
        <x:v>389</x:v>
      </x:c>
      <x:c r="G222" s="84" t="s">
        <x:v>395</x:v>
      </x:c>
      <x:c r="H222" s="84" t="s">
        <x:v>294</x:v>
      </x:c>
      <x:c r="I222" s="84"/>
      <x:c r="J222" s="84" t="s">
        <x:v>19</x:v>
      </x:c>
      <x:c r="K222" s="84" t="s">
        <x:v>27</x:v>
      </x:c>
      <x:c r="L222" s="84" t="s">
        <x:v>391</x:v>
      </x:c>
      <x:c r="M222" s="85"/>
    </x:row>
    <x:row r="223" ht="36" customHeight="1">
      <x:c r="A223" s="83" t="n">
        <x:v>222</x:v>
      </x:c>
      <x:c r="B223" s="101">
        <x:v>46813.0</x:v>
      </x:c>
      <x:c r="C223" s="84" t="s">
        <x:v>210</x:v>
      </x:c>
      <x:c r="D223" s="84">
        <x:v>2028.0</x:v>
      </x:c>
      <x:c r="E223" s="84" t="s">
        <x:v>111</x:v>
      </x:c>
      <x:c r="F223" s="84" t="s">
        <x:v>341</x:v>
      </x:c>
      <x:c r="G223" s="84" t="s">
        <x:v>396</x:v>
      </x:c>
      <x:c r="H223" s="84" t="s">
        <x:v>112</x:v>
      </x:c>
      <x:c r="I223" s="84"/>
      <x:c r="J223" s="84" t="s">
        <x:v>19</x:v>
      </x:c>
      <x:c r="K223" s="84" t="s">
        <x:v>27</x:v>
      </x:c>
      <x:c r="L223" s="84" t="s">
        <x:v>397</x:v>
      </x:c>
      <x:c r="M223" s="85"/>
    </x:row>
    <x:row r="224" ht="36" customHeight="1">
      <x:c r="A224" s="83" t="n">
        <x:v>223</x:v>
      </x:c>
      <x:c r="B224" s="101">
        <x:v>46813.0</x:v>
      </x:c>
      <x:c r="C224" s="84" t="s">
        <x:v>210</x:v>
      </x:c>
      <x:c r="D224" s="84">
        <x:v>2028.0</x:v>
      </x:c>
      <x:c r="E224" s="84" t="s">
        <x:v>111</x:v>
      </x:c>
      <x:c r="F224" s="84" t="s">
        <x:v>341</x:v>
      </x:c>
      <x:c r="G224" s="84" t="s">
        <x:v>398</x:v>
      </x:c>
      <x:c r="H224" s="84" t="s">
        <x:v>112</x:v>
      </x:c>
      <x:c r="I224" s="84"/>
      <x:c r="J224" s="84" t="s">
        <x:v>19</x:v>
      </x:c>
      <x:c r="K224" s="84" t="s">
        <x:v>27</x:v>
      </x:c>
      <x:c r="L224" s="84" t="s">
        <x:v>397</x:v>
      </x:c>
      <x:c r="M224" s="85"/>
    </x:row>
    <x:row r="225" ht="36" customHeight="1">
      <x:c r="A225" s="83" t="n">
        <x:v>224</x:v>
      </x:c>
      <x:c r="B225" s="101">
        <x:v>46813.0</x:v>
      </x:c>
      <x:c r="C225" s="84" t="s">
        <x:v>210</x:v>
      </x:c>
      <x:c r="D225" s="84">
        <x:v>2028.0</x:v>
      </x:c>
      <x:c r="E225" s="84" t="s">
        <x:v>111</x:v>
      </x:c>
      <x:c r="F225" s="84" t="s">
        <x:v>341</x:v>
      </x:c>
      <x:c r="G225" s="84" t="s">
        <x:v>399</x:v>
      </x:c>
      <x:c r="H225" s="84" t="s">
        <x:v>112</x:v>
      </x:c>
      <x:c r="I225" s="84"/>
      <x:c r="J225" s="84" t="s">
        <x:v>19</x:v>
      </x:c>
      <x:c r="K225" s="84" t="s">
        <x:v>27</x:v>
      </x:c>
      <x:c r="L225" s="84" t="s">
        <x:v>397</x:v>
      </x:c>
      <x:c r="M225" s="85"/>
    </x:row>
    <x:row r="226" ht="36" customHeight="1">
      <x:c r="A226" s="83" t="n">
        <x:v>225</x:v>
      </x:c>
      <x:c r="B226" s="101">
        <x:v>46813.0</x:v>
      </x:c>
      <x:c r="C226" s="84" t="s">
        <x:v>210</x:v>
      </x:c>
      <x:c r="D226" s="84">
        <x:v>2028.0</x:v>
      </x:c>
      <x:c r="E226" s="84" t="s">
        <x:v>111</x:v>
      </x:c>
      <x:c r="F226" s="84" t="s">
        <x:v>341</x:v>
      </x:c>
      <x:c r="G226" s="84" t="s">
        <x:v>400</x:v>
      </x:c>
      <x:c r="H226" s="84" t="s">
        <x:v>112</x:v>
      </x:c>
      <x:c r="I226" s="84"/>
      <x:c r="J226" s="84" t="s">
        <x:v>19</x:v>
      </x:c>
      <x:c r="K226" s="84" t="s">
        <x:v>27</x:v>
      </x:c>
      <x:c r="L226" s="84" t="s">
        <x:v>397</x:v>
      </x:c>
      <x:c r="M226" s="85"/>
    </x:row>
    <x:row r="227" ht="36" customHeight="1">
      <x:c r="A227" s="83" t="n">
        <x:v>226</x:v>
      </x:c>
      <x:c r="B227" s="101">
        <x:v>46813.0</x:v>
      </x:c>
      <x:c r="C227" s="84" t="s">
        <x:v>210</x:v>
      </x:c>
      <x:c r="D227" s="84">
        <x:v>2028.0</x:v>
      </x:c>
      <x:c r="E227" s="84" t="s">
        <x:v>111</x:v>
      </x:c>
      <x:c r="F227" s="84" t="s">
        <x:v>341</x:v>
      </x:c>
      <x:c r="G227" s="84" t="s">
        <x:v>401</x:v>
      </x:c>
      <x:c r="H227" s="84" t="s">
        <x:v>112</x:v>
      </x:c>
      <x:c r="I227" s="84"/>
      <x:c r="J227" s="84" t="s">
        <x:v>19</x:v>
      </x:c>
      <x:c r="K227" s="84" t="s">
        <x:v>27</x:v>
      </x:c>
      <x:c r="L227" s="84" t="s">
        <x:v>397</x:v>
      </x:c>
      <x:c r="M227" s="85"/>
    </x:row>
    <x:row r="228" ht="36" customHeight="1">
      <x:c r="A228" s="83" t="n">
        <x:v>227</x:v>
      </x:c>
      <x:c r="B228" s="101">
        <x:v>46813.0</x:v>
      </x:c>
      <x:c r="C228" s="84" t="s">
        <x:v>210</x:v>
      </x:c>
      <x:c r="D228" s="84">
        <x:v>2028.0</x:v>
      </x:c>
      <x:c r="E228" s="84" t="s">
        <x:v>111</x:v>
      </x:c>
      <x:c r="F228" s="84" t="s">
        <x:v>341</x:v>
      </x:c>
      <x:c r="G228" s="84" t="s">
        <x:v>402</x:v>
      </x:c>
      <x:c r="H228" s="84" t="s">
        <x:v>112</x:v>
      </x:c>
      <x:c r="I228" s="84"/>
      <x:c r="J228" s="84" t="s">
        <x:v>19</x:v>
      </x:c>
      <x:c r="K228" s="84" t="s">
        <x:v>27</x:v>
      </x:c>
      <x:c r="L228" s="84" t="s">
        <x:v>397</x:v>
      </x:c>
      <x:c r="M228" s="85"/>
    </x:row>
    <x:row r="229" ht="36" customHeight="1">
      <x:c r="A229" s="83" t="n">
        <x:v>228</x:v>
      </x:c>
      <x:c r="B229" s="101">
        <x:v>46813.0</x:v>
      </x:c>
      <x:c r="C229" s="84" t="s">
        <x:v>210</x:v>
      </x:c>
      <x:c r="D229" s="84">
        <x:v>2028.0</x:v>
      </x:c>
      <x:c r="E229" s="84" t="s">
        <x:v>111</x:v>
      </x:c>
      <x:c r="F229" s="84" t="s">
        <x:v>230</x:v>
      </x:c>
      <x:c r="G229" s="84" t="s">
        <x:v>403</x:v>
      </x:c>
      <x:c r="H229" s="84" t="s">
        <x:v>265</x:v>
      </x:c>
      <x:c r="I229" s="84"/>
      <x:c r="J229" s="84" t="s">
        <x:v>19</x:v>
      </x:c>
      <x:c r="K229" s="84" t="s">
        <x:v>27</x:v>
      </x:c>
      <x:c r="L229" s="84" t="s">
        <x:v>404</x:v>
      </x:c>
      <x:c r="M229" s="85"/>
    </x:row>
    <x:row r="230" ht="36" customHeight="1">
      <x:c r="A230" s="83" t="n">
        <x:v>229</x:v>
      </x:c>
      <x:c r="B230" s="101">
        <x:v>46813.0</x:v>
      </x:c>
      <x:c r="C230" s="84" t="s">
        <x:v>210</x:v>
      </x:c>
      <x:c r="D230" s="84">
        <x:v>2028.0</x:v>
      </x:c>
      <x:c r="E230" s="84" t="s">
        <x:v>111</x:v>
      </x:c>
      <x:c r="F230" s="84" t="s">
        <x:v>230</x:v>
      </x:c>
      <x:c r="G230" s="84" t="s">
        <x:v>405</x:v>
      </x:c>
      <x:c r="H230" s="84" t="s">
        <x:v>265</x:v>
      </x:c>
      <x:c r="I230" s="84"/>
      <x:c r="J230" s="84" t="s">
        <x:v>19</x:v>
      </x:c>
      <x:c r="K230" s="84" t="s">
        <x:v>27</x:v>
      </x:c>
      <x:c r="L230" s="84" t="s">
        <x:v>404</x:v>
      </x:c>
      <x:c r="M230" s="85"/>
    </x:row>
    <x:row r="231" ht="36" customHeight="1">
      <x:c r="A231" s="83" t="n">
        <x:v>230</x:v>
      </x:c>
      <x:c r="B231" s="101">
        <x:v>46813.0</x:v>
      </x:c>
      <x:c r="C231" s="84" t="s">
        <x:v>210</x:v>
      </x:c>
      <x:c r="D231" s="84">
        <x:v>2028.0</x:v>
      </x:c>
      <x:c r="E231" s="84" t="s">
        <x:v>111</x:v>
      </x:c>
      <x:c r="F231" s="84" t="s">
        <x:v>230</x:v>
      </x:c>
      <x:c r="G231" s="84" t="s">
        <x:v>406</x:v>
      </x:c>
      <x:c r="H231" s="84" t="s">
        <x:v>265</x:v>
      </x:c>
      <x:c r="I231" s="84"/>
      <x:c r="J231" s="84" t="s">
        <x:v>19</x:v>
      </x:c>
      <x:c r="K231" s="84" t="s">
        <x:v>27</x:v>
      </x:c>
      <x:c r="L231" s="84" t="s">
        <x:v>404</x:v>
      </x:c>
      <x:c r="M231" s="85"/>
    </x:row>
    <x:row r="232" ht="36" customHeight="1">
      <x:c r="A232" s="83" t="n">
        <x:v>231</x:v>
      </x:c>
      <x:c r="B232" s="101">
        <x:v>46813.0</x:v>
      </x:c>
      <x:c r="C232" s="84" t="s">
        <x:v>210</x:v>
      </x:c>
      <x:c r="D232" s="84">
        <x:v>2028.0</x:v>
      </x:c>
      <x:c r="E232" s="84" t="s">
        <x:v>48</x:v>
      </x:c>
      <x:c r="F232" s="84" t="s">
        <x:v>68</x:v>
      </x:c>
      <x:c r="G232" s="84" t="s">
        <x:v>407</x:v>
      </x:c>
      <x:c r="H232" s="84" t="s">
        <x:v>48</x:v>
      </x:c>
      <x:c r="I232" s="84"/>
      <x:c r="J232" s="84" t="s">
        <x:v>19</x:v>
      </x:c>
      <x:c r="K232" s="84" t="s">
        <x:v>76</x:v>
      </x:c>
      <x:c r="L232" s="84" t="s">
        <x:v>408</x:v>
      </x:c>
      <x:c r="M232" s="85"/>
    </x:row>
    <x:row r="233" ht="36" customHeight="1">
      <x:c r="A233" s="83" t="n">
        <x:v>232</x:v>
      </x:c>
      <x:c r="B233" s="101">
        <x:v>46844.0</x:v>
      </x:c>
      <x:c r="C233" s="84" t="s">
        <x:v>225</x:v>
      </x:c>
      <x:c r="D233" s="84">
        <x:v>2028.0</x:v>
      </x:c>
      <x:c r="E233" s="84" t="s">
        <x:v>111</x:v>
      </x:c>
      <x:c r="F233" s="84" t="s">
        <x:v>341</x:v>
      </x:c>
      <x:c r="G233" s="84" t="s">
        <x:v>409</x:v>
      </x:c>
      <x:c r="H233" s="84" t="s">
        <x:v>112</x:v>
      </x:c>
      <x:c r="I233" s="84"/>
      <x:c r="J233" s="84" t="s">
        <x:v>19</x:v>
      </x:c>
      <x:c r="K233" s="84" t="s">
        <x:v>27</x:v>
      </x:c>
      <x:c r="L233" s="84" t="s">
        <x:v>410</x:v>
      </x:c>
      <x:c r="M233" s="85"/>
    </x:row>
    <x:row r="234" ht="36" customHeight="1">
      <x:c r="A234" s="83" t="n">
        <x:v>233</x:v>
      </x:c>
      <x:c r="B234" s="101">
        <x:v>46844.0</x:v>
      </x:c>
      <x:c r="C234" s="84" t="s">
        <x:v>225</x:v>
      </x:c>
      <x:c r="D234" s="84">
        <x:v>2028.0</x:v>
      </x:c>
      <x:c r="E234" s="84" t="s">
        <x:v>111</x:v>
      </x:c>
      <x:c r="F234" s="84" t="s">
        <x:v>341</x:v>
      </x:c>
      <x:c r="G234" s="84" t="s">
        <x:v>411</x:v>
      </x:c>
      <x:c r="H234" s="84" t="s">
        <x:v>112</x:v>
      </x:c>
      <x:c r="I234" s="84"/>
      <x:c r="J234" s="84" t="s">
        <x:v>19</x:v>
      </x:c>
      <x:c r="K234" s="84" t="s">
        <x:v>27</x:v>
      </x:c>
      <x:c r="L234" s="84" t="s">
        <x:v>410</x:v>
      </x:c>
      <x:c r="M234" s="85"/>
    </x:row>
    <x:row r="235" ht="36" customHeight="1">
      <x:c r="A235" s="83" t="n">
        <x:v>234</x:v>
      </x:c>
      <x:c r="B235" s="101">
        <x:v>46844.0</x:v>
      </x:c>
      <x:c r="C235" s="84" t="s">
        <x:v>225</x:v>
      </x:c>
      <x:c r="D235" s="84">
        <x:v>2028.0</x:v>
      </x:c>
      <x:c r="E235" s="84" t="s">
        <x:v>111</x:v>
      </x:c>
      <x:c r="F235" s="84" t="s">
        <x:v>341</x:v>
      </x:c>
      <x:c r="G235" s="84" t="s">
        <x:v>412</x:v>
      </x:c>
      <x:c r="H235" s="84" t="s">
        <x:v>112</x:v>
      </x:c>
      <x:c r="I235" s="84"/>
      <x:c r="J235" s="84" t="s">
        <x:v>19</x:v>
      </x:c>
      <x:c r="K235" s="84" t="s">
        <x:v>27</x:v>
      </x:c>
      <x:c r="L235" s="84" t="s">
        <x:v>410</x:v>
      </x:c>
      <x:c r="M235" s="85"/>
    </x:row>
    <x:row r="236" ht="36" customHeight="1">
      <x:c r="A236" s="83" t="n">
        <x:v>235</x:v>
      </x:c>
      <x:c r="B236" s="101">
        <x:v>46844.0</x:v>
      </x:c>
      <x:c r="C236" s="84" t="s">
        <x:v>225</x:v>
      </x:c>
      <x:c r="D236" s="84">
        <x:v>2028.0</x:v>
      </x:c>
      <x:c r="E236" s="84" t="s">
        <x:v>111</x:v>
      </x:c>
      <x:c r="F236" s="84" t="s">
        <x:v>341</x:v>
      </x:c>
      <x:c r="G236" s="84" t="s">
        <x:v>413</x:v>
      </x:c>
      <x:c r="H236" s="84" t="s">
        <x:v>112</x:v>
      </x:c>
      <x:c r="I236" s="84"/>
      <x:c r="J236" s="84" t="s">
        <x:v>19</x:v>
      </x:c>
      <x:c r="K236" s="84" t="s">
        <x:v>27</x:v>
      </x:c>
      <x:c r="L236" s="84" t="s">
        <x:v>410</x:v>
      </x:c>
      <x:c r="M236" s="85"/>
    </x:row>
    <x:row r="237" ht="36" customHeight="1">
      <x:c r="A237" s="83" t="n">
        <x:v>236</x:v>
      </x:c>
      <x:c r="B237" s="101">
        <x:v>46844.0</x:v>
      </x:c>
      <x:c r="C237" s="84" t="s">
        <x:v>225</x:v>
      </x:c>
      <x:c r="D237" s="84">
        <x:v>2028.0</x:v>
      </x:c>
      <x:c r="E237" s="84" t="s">
        <x:v>111</x:v>
      </x:c>
      <x:c r="F237" s="84" t="s">
        <x:v>341</x:v>
      </x:c>
      <x:c r="G237" s="84" t="s">
        <x:v>414</x:v>
      </x:c>
      <x:c r="H237" s="84" t="s">
        <x:v>112</x:v>
      </x:c>
      <x:c r="I237" s="84"/>
      <x:c r="J237" s="84" t="s">
        <x:v>19</x:v>
      </x:c>
      <x:c r="K237" s="84" t="s">
        <x:v>27</x:v>
      </x:c>
      <x:c r="L237" s="84" t="s">
        <x:v>410</x:v>
      </x:c>
      <x:c r="M237" s="85"/>
    </x:row>
    <x:row r="238" ht="36" customHeight="1">
      <x:c r="A238" s="83" t="n">
        <x:v>237</x:v>
      </x:c>
      <x:c r="B238" s="101">
        <x:v>46844.0</x:v>
      </x:c>
      <x:c r="C238" s="84" t="s">
        <x:v>225</x:v>
      </x:c>
      <x:c r="D238" s="84">
        <x:v>2028.0</x:v>
      </x:c>
      <x:c r="E238" s="84" t="s">
        <x:v>111</x:v>
      </x:c>
      <x:c r="F238" s="84" t="s">
        <x:v>341</x:v>
      </x:c>
      <x:c r="G238" s="84" t="s">
        <x:v>415</x:v>
      </x:c>
      <x:c r="H238" s="84" t="s">
        <x:v>112</x:v>
      </x:c>
      <x:c r="I238" s="84"/>
      <x:c r="J238" s="84" t="s">
        <x:v>19</x:v>
      </x:c>
      <x:c r="K238" s="84" t="s">
        <x:v>27</x:v>
      </x:c>
      <x:c r="L238" s="84" t="s">
        <x:v>410</x:v>
      </x:c>
      <x:c r="M238" s="85"/>
    </x:row>
    <x:row r="239" ht="36" customHeight="1">
      <x:c r="A239" s="83" t="n">
        <x:v>238</x:v>
      </x:c>
      <x:c r="B239" s="101">
        <x:v>46844.0</x:v>
      </x:c>
      <x:c r="C239" s="84" t="s">
        <x:v>225</x:v>
      </x:c>
      <x:c r="D239" s="84">
        <x:v>2028.0</x:v>
      </x:c>
      <x:c r="E239" s="84" t="s">
        <x:v>111</x:v>
      </x:c>
      <x:c r="F239" s="84" t="s">
        <x:v>341</x:v>
      </x:c>
      <x:c r="G239" s="84" t="s">
        <x:v>416</x:v>
      </x:c>
      <x:c r="H239" s="84" t="s">
        <x:v>112</x:v>
      </x:c>
      <x:c r="I239" s="84"/>
      <x:c r="J239" s="84" t="s">
        <x:v>19</x:v>
      </x:c>
      <x:c r="K239" s="84" t="s">
        <x:v>27</x:v>
      </x:c>
      <x:c r="L239" s="84" t="s">
        <x:v>410</x:v>
      </x:c>
      <x:c r="M239" s="85"/>
    </x:row>
    <x:row r="240" ht="36" customHeight="1">
      <x:c r="A240" s="83" t="n">
        <x:v>239</x:v>
      </x:c>
      <x:c r="B240" s="101">
        <x:v>46844.0</x:v>
      </x:c>
      <x:c r="C240" s="84" t="s">
        <x:v>225</x:v>
      </x:c>
      <x:c r="D240" s="84">
        <x:v>2028.0</x:v>
      </x:c>
      <x:c r="E240" s="84" t="s">
        <x:v>111</x:v>
      </x:c>
      <x:c r="F240" s="84" t="s">
        <x:v>292</x:v>
      </x:c>
      <x:c r="G240" s="84" t="s">
        <x:v>417</x:v>
      </x:c>
      <x:c r="H240" s="84" t="s">
        <x:v>112</x:v>
      </x:c>
      <x:c r="I240" s="84"/>
      <x:c r="J240" s="84" t="s">
        <x:v>19</x:v>
      </x:c>
      <x:c r="K240" s="84" t="s">
        <x:v>27</x:v>
      </x:c>
      <x:c r="L240" s="84" t="s">
        <x:v>418</x:v>
      </x:c>
      <x:c r="M240" s="85"/>
    </x:row>
    <x:row r="241" ht="36" customHeight="1">
      <x:c r="A241" s="83" t="n">
        <x:v>240</x:v>
      </x:c>
      <x:c r="B241" s="101">
        <x:v>46844.0</x:v>
      </x:c>
      <x:c r="C241" s="84" t="s">
        <x:v>225</x:v>
      </x:c>
      <x:c r="D241" s="84">
        <x:v>2028.0</x:v>
      </x:c>
      <x:c r="E241" s="84" t="s">
        <x:v>48</x:v>
      </x:c>
      <x:c r="F241" s="84" t="s">
        <x:v>68</x:v>
      </x:c>
      <x:c r="G241" s="84" t="s">
        <x:v>419</x:v>
      </x:c>
      <x:c r="H241" s="84" t="s">
        <x:v>420</x:v>
      </x:c>
      <x:c r="I241" s="84"/>
      <x:c r="J241" s="84" t="s">
        <x:v>19</x:v>
      </x:c>
      <x:c r="K241" s="84" t="s">
        <x:v>76</x:v>
      </x:c>
      <x:c r="L241" s="84" t="s">
        <x:v>421</x:v>
      </x:c>
      <x:c r="M241" s="85"/>
    </x:row>
    <x:row r="242" ht="36" customHeight="1">
      <x:c r="A242" s="83" t="n">
        <x:v>241</x:v>
      </x:c>
      <x:c r="B242" s="101">
        <x:v>46874.0</x:v>
      </x:c>
      <x:c r="C242" s="84" t="s">
        <x:v>13</x:v>
      </x:c>
      <x:c r="D242" s="84">
        <x:v>2028.0</x:v>
      </x:c>
      <x:c r="E242" s="84" t="s">
        <x:v>111</x:v>
      </x:c>
      <x:c r="F242" s="84" t="s">
        <x:v>341</x:v>
      </x:c>
      <x:c r="G242" s="84" t="s">
        <x:v>422</x:v>
      </x:c>
      <x:c r="H242" s="84" t="s">
        <x:v>112</x:v>
      </x:c>
      <x:c r="I242" s="84"/>
      <x:c r="J242" s="84" t="s">
        <x:v>19</x:v>
      </x:c>
      <x:c r="K242" s="84" t="s">
        <x:v>27</x:v>
      </x:c>
      <x:c r="L242" s="84" t="s">
        <x:v>423</x:v>
      </x:c>
      <x:c r="M242" s="85"/>
    </x:row>
    <x:row r="243" ht="36" customHeight="1">
      <x:c r="A243" s="83" t="n">
        <x:v>242</x:v>
      </x:c>
      <x:c r="B243" s="101">
        <x:v>46874.0</x:v>
      </x:c>
      <x:c r="C243" s="84" t="s">
        <x:v>13</x:v>
      </x:c>
      <x:c r="D243" s="84">
        <x:v>2028.0</x:v>
      </x:c>
      <x:c r="E243" s="84" t="s">
        <x:v>111</x:v>
      </x:c>
      <x:c r="F243" s="84" t="s">
        <x:v>341</x:v>
      </x:c>
      <x:c r="G243" s="84" t="s">
        <x:v>424</x:v>
      </x:c>
      <x:c r="H243" s="84" t="s">
        <x:v>112</x:v>
      </x:c>
      <x:c r="I243" s="84"/>
      <x:c r="J243" s="84" t="s">
        <x:v>19</x:v>
      </x:c>
      <x:c r="K243" s="84" t="s">
        <x:v>27</x:v>
      </x:c>
      <x:c r="L243" s="84" t="s">
        <x:v>423</x:v>
      </x:c>
      <x:c r="M243" s="85"/>
    </x:row>
    <x:row r="244" ht="36" customHeight="1">
      <x:c r="A244" s="83" t="n">
        <x:v>243</x:v>
      </x:c>
      <x:c r="B244" s="101">
        <x:v>46874.0</x:v>
      </x:c>
      <x:c r="C244" s="84" t="s">
        <x:v>13</x:v>
      </x:c>
      <x:c r="D244" s="84">
        <x:v>2028.0</x:v>
      </x:c>
      <x:c r="E244" s="84" t="s">
        <x:v>111</x:v>
      </x:c>
      <x:c r="F244" s="84" t="s">
        <x:v>341</x:v>
      </x:c>
      <x:c r="G244" s="84" t="s">
        <x:v>425</x:v>
      </x:c>
      <x:c r="H244" s="84" t="s">
        <x:v>112</x:v>
      </x:c>
      <x:c r="I244" s="84"/>
      <x:c r="J244" s="84" t="s">
        <x:v>19</x:v>
      </x:c>
      <x:c r="K244" s="84" t="s">
        <x:v>27</x:v>
      </x:c>
      <x:c r="L244" s="84" t="s">
        <x:v>423</x:v>
      </x:c>
      <x:c r="M244" s="85"/>
    </x:row>
    <x:row r="245" ht="36" customHeight="1">
      <x:c r="A245" s="83" t="n">
        <x:v>244</x:v>
      </x:c>
      <x:c r="B245" s="101">
        <x:v>46874.0</x:v>
      </x:c>
      <x:c r="C245" s="84" t="s">
        <x:v>13</x:v>
      </x:c>
      <x:c r="D245" s="84">
        <x:v>2028.0</x:v>
      </x:c>
      <x:c r="E245" s="84" t="s">
        <x:v>111</x:v>
      </x:c>
      <x:c r="F245" s="84" t="s">
        <x:v>341</x:v>
      </x:c>
      <x:c r="G245" s="84" t="s">
        <x:v>426</x:v>
      </x:c>
      <x:c r="H245" s="84" t="s">
        <x:v>112</x:v>
      </x:c>
      <x:c r="I245" s="84"/>
      <x:c r="J245" s="84" t="s">
        <x:v>19</x:v>
      </x:c>
      <x:c r="K245" s="84" t="s">
        <x:v>27</x:v>
      </x:c>
      <x:c r="L245" s="84" t="s">
        <x:v>423</x:v>
      </x:c>
      <x:c r="M245" s="85"/>
    </x:row>
    <x:row r="246" ht="36" customHeight="1">
      <x:c r="A246" s="83" t="n">
        <x:v>245</x:v>
      </x:c>
      <x:c r="B246" s="101">
        <x:v>46874.0</x:v>
      </x:c>
      <x:c r="C246" s="84" t="s">
        <x:v>13</x:v>
      </x:c>
      <x:c r="D246" s="84">
        <x:v>2028.0</x:v>
      </x:c>
      <x:c r="E246" s="84" t="s">
        <x:v>111</x:v>
      </x:c>
      <x:c r="F246" s="84" t="s">
        <x:v>341</x:v>
      </x:c>
      <x:c r="G246" s="84" t="s">
        <x:v>427</x:v>
      </x:c>
      <x:c r="H246" s="84" t="s">
        <x:v>112</x:v>
      </x:c>
      <x:c r="I246" s="84"/>
      <x:c r="J246" s="84" t="s">
        <x:v>19</x:v>
      </x:c>
      <x:c r="K246" s="84" t="s">
        <x:v>27</x:v>
      </x:c>
      <x:c r="L246" s="84" t="s">
        <x:v>423</x:v>
      </x:c>
      <x:c r="M246" s="85"/>
    </x:row>
    <x:row r="247" ht="36" customHeight="1">
      <x:c r="A247" s="83" t="n">
        <x:v>246</x:v>
      </x:c>
      <x:c r="B247" s="101">
        <x:v>46874.0</x:v>
      </x:c>
      <x:c r="C247" s="84" t="s">
        <x:v>13</x:v>
      </x:c>
      <x:c r="D247" s="84">
        <x:v>2028.0</x:v>
      </x:c>
      <x:c r="E247" s="84" t="s">
        <x:v>111</x:v>
      </x:c>
      <x:c r="F247" s="84" t="s">
        <x:v>341</x:v>
      </x:c>
      <x:c r="G247" s="84" t="s">
        <x:v>428</x:v>
      </x:c>
      <x:c r="H247" s="84" t="s">
        <x:v>112</x:v>
      </x:c>
      <x:c r="I247" s="84"/>
      <x:c r="J247" s="84" t="s">
        <x:v>19</x:v>
      </x:c>
      <x:c r="K247" s="84" t="s">
        <x:v>27</x:v>
      </x:c>
      <x:c r="L247" s="84" t="s">
        <x:v>423</x:v>
      </x:c>
      <x:c r="M247" s="85"/>
    </x:row>
    <x:row r="248" ht="36" customHeight="1">
      <x:c r="A248" s="83" t="n">
        <x:v>247</x:v>
      </x:c>
      <x:c r="B248" s="101">
        <x:v>46874.0</x:v>
      </x:c>
      <x:c r="C248" s="84" t="s">
        <x:v>13</x:v>
      </x:c>
      <x:c r="D248" s="84">
        <x:v>2028.0</x:v>
      </x:c>
      <x:c r="E248" s="84" t="s">
        <x:v>111</x:v>
      </x:c>
      <x:c r="F248" s="84" t="s">
        <x:v>341</x:v>
      </x:c>
      <x:c r="G248" s="84" t="s">
        <x:v>429</x:v>
      </x:c>
      <x:c r="H248" s="84" t="s">
        <x:v>112</x:v>
      </x:c>
      <x:c r="I248" s="84"/>
      <x:c r="J248" s="84" t="s">
        <x:v>19</x:v>
      </x:c>
      <x:c r="K248" s="84" t="s">
        <x:v>27</x:v>
      </x:c>
      <x:c r="L248" s="84" t="s">
        <x:v>423</x:v>
      </x:c>
      <x:c r="M248" s="85"/>
    </x:row>
    <x:row r="249" ht="36" customHeight="1">
      <x:c r="A249" s="83" t="n">
        <x:v>248</x:v>
      </x:c>
      <x:c r="B249" s="101">
        <x:v>46874.0</x:v>
      </x:c>
      <x:c r="C249" s="84" t="s">
        <x:v>13</x:v>
      </x:c>
      <x:c r="D249" s="84">
        <x:v>2028.0</x:v>
      </x:c>
      <x:c r="E249" s="84" t="s">
        <x:v>111</x:v>
      </x:c>
      <x:c r="F249" s="84" t="s">
        <x:v>341</x:v>
      </x:c>
      <x:c r="G249" s="84" t="s">
        <x:v>430</x:v>
      </x:c>
      <x:c r="H249" s="84" t="s">
        <x:v>112</x:v>
      </x:c>
      <x:c r="I249" s="84"/>
      <x:c r="J249" s="84" t="s">
        <x:v>19</x:v>
      </x:c>
      <x:c r="K249" s="84" t="s">
        <x:v>27</x:v>
      </x:c>
      <x:c r="L249" s="84" t="s">
        <x:v>423</x:v>
      </x:c>
      <x:c r="M249" s="85"/>
    </x:row>
    <x:row r="250" ht="36" customHeight="1">
      <x:c r="A250" s="83" t="n">
        <x:v>249</x:v>
      </x:c>
      <x:c r="B250" s="101">
        <x:v>46874.0</x:v>
      </x:c>
      <x:c r="C250" s="84" t="s">
        <x:v>13</x:v>
      </x:c>
      <x:c r="D250" s="84">
        <x:v>2028.0</x:v>
      </x:c>
      <x:c r="E250" s="84" t="s">
        <x:v>111</x:v>
      </x:c>
      <x:c r="F250" s="84" t="s">
        <x:v>288</x:v>
      </x:c>
      <x:c r="G250" s="84" t="s">
        <x:v>431</x:v>
      </x:c>
      <x:c r="H250" s="84" t="s">
        <x:v>432</x:v>
      </x:c>
      <x:c r="I250" s="84"/>
      <x:c r="J250" s="84" t="s">
        <x:v>19</x:v>
      </x:c>
      <x:c r="K250" s="84" t="s">
        <x:v>27</x:v>
      </x:c>
      <x:c r="L250" s="84" t="s">
        <x:v>433</x:v>
      </x:c>
      <x:c r="M250" s="85"/>
    </x:row>
    <x:row r="251" ht="36" customHeight="1">
      <x:c r="A251" s="83" t="n">
        <x:v>250</x:v>
      </x:c>
      <x:c r="B251" s="101">
        <x:v>46905.0</x:v>
      </x:c>
      <x:c r="C251" s="84" t="s">
        <x:v>36</x:v>
      </x:c>
      <x:c r="D251" s="84">
        <x:v>2028.0</x:v>
      </x:c>
      <x:c r="E251" s="84" t="s">
        <x:v>111</x:v>
      </x:c>
      <x:c r="F251" s="84" t="s">
        <x:v>341</x:v>
      </x:c>
      <x:c r="G251" s="84" t="s">
        <x:v>434</x:v>
      </x:c>
      <x:c r="H251" s="84" t="s">
        <x:v>112</x:v>
      </x:c>
      <x:c r="I251" s="84"/>
      <x:c r="J251" s="84" t="s">
        <x:v>19</x:v>
      </x:c>
      <x:c r="K251" s="84" t="s">
        <x:v>27</x:v>
      </x:c>
      <x:c r="L251" s="84" t="s">
        <x:v>435</x:v>
      </x:c>
      <x:c r="M251" s="85"/>
    </x:row>
    <x:row r="252" ht="36" customHeight="1">
      <x:c r="A252" s="83" t="n">
        <x:v>251</x:v>
      </x:c>
      <x:c r="B252" s="101">
        <x:v>46905.0</x:v>
      </x:c>
      <x:c r="C252" s="84" t="s">
        <x:v>36</x:v>
      </x:c>
      <x:c r="D252" s="84">
        <x:v>2028.0</x:v>
      </x:c>
      <x:c r="E252" s="84" t="s">
        <x:v>111</x:v>
      </x:c>
      <x:c r="F252" s="84" t="s">
        <x:v>341</x:v>
      </x:c>
      <x:c r="G252" s="84" t="s">
        <x:v>436</x:v>
      </x:c>
      <x:c r="H252" s="84" t="s">
        <x:v>112</x:v>
      </x:c>
      <x:c r="I252" s="84"/>
      <x:c r="J252" s="84" t="s">
        <x:v>19</x:v>
      </x:c>
      <x:c r="K252" s="84" t="s">
        <x:v>27</x:v>
      </x:c>
      <x:c r="L252" s="84" t="s">
        <x:v>435</x:v>
      </x:c>
      <x:c r="M252" s="85"/>
    </x:row>
    <x:row r="253" ht="36" customHeight="1">
      <x:c r="A253" s="83" t="n">
        <x:v>252</x:v>
      </x:c>
      <x:c r="B253" s="101">
        <x:v>46905.0</x:v>
      </x:c>
      <x:c r="C253" s="84" t="s">
        <x:v>36</x:v>
      </x:c>
      <x:c r="D253" s="84">
        <x:v>2028.0</x:v>
      </x:c>
      <x:c r="E253" s="84" t="s">
        <x:v>111</x:v>
      </x:c>
      <x:c r="F253" s="84" t="s">
        <x:v>341</x:v>
      </x:c>
      <x:c r="G253" s="84" t="s">
        <x:v>437</x:v>
      </x:c>
      <x:c r="H253" s="84" t="s">
        <x:v>112</x:v>
      </x:c>
      <x:c r="I253" s="84"/>
      <x:c r="J253" s="84" t="s">
        <x:v>19</x:v>
      </x:c>
      <x:c r="K253" s="84" t="s">
        <x:v>27</x:v>
      </x:c>
      <x:c r="L253" s="84" t="s">
        <x:v>435</x:v>
      </x:c>
      <x:c r="M253" s="85"/>
    </x:row>
    <x:row r="254" ht="36" customHeight="1">
      <x:c r="A254" s="83" t="n">
        <x:v>253</x:v>
      </x:c>
      <x:c r="B254" s="101">
        <x:v>46905.0</x:v>
      </x:c>
      <x:c r="C254" s="84" t="s">
        <x:v>36</x:v>
      </x:c>
      <x:c r="D254" s="84">
        <x:v>2028.0</x:v>
      </x:c>
      <x:c r="E254" s="84" t="s">
        <x:v>111</x:v>
      </x:c>
      <x:c r="F254" s="84" t="s">
        <x:v>341</x:v>
      </x:c>
      <x:c r="G254" s="84" t="s">
        <x:v>438</x:v>
      </x:c>
      <x:c r="H254" s="84" t="s">
        <x:v>112</x:v>
      </x:c>
      <x:c r="I254" s="84"/>
      <x:c r="J254" s="84" t="s">
        <x:v>19</x:v>
      </x:c>
      <x:c r="K254" s="84" t="s">
        <x:v>27</x:v>
      </x:c>
      <x:c r="L254" s="84" t="s">
        <x:v>435</x:v>
      </x:c>
      <x:c r="M254" s="85"/>
    </x:row>
    <x:row r="255" ht="36" customHeight="1">
      <x:c r="A255" s="83" t="n">
        <x:v>254</x:v>
      </x:c>
      <x:c r="B255" s="101">
        <x:v>46905.0</x:v>
      </x:c>
      <x:c r="C255" s="84" t="s">
        <x:v>36</x:v>
      </x:c>
      <x:c r="D255" s="84">
        <x:v>2028.0</x:v>
      </x:c>
      <x:c r="E255" s="84" t="s">
        <x:v>111</x:v>
      </x:c>
      <x:c r="F255" s="84" t="s">
        <x:v>341</x:v>
      </x:c>
      <x:c r="G255" s="84" t="s">
        <x:v>439</x:v>
      </x:c>
      <x:c r="H255" s="84" t="s">
        <x:v>112</x:v>
      </x:c>
      <x:c r="I255" s="84"/>
      <x:c r="J255" s="84" t="s">
        <x:v>19</x:v>
      </x:c>
      <x:c r="K255" s="84" t="s">
        <x:v>27</x:v>
      </x:c>
      <x:c r="L255" s="84" t="s">
        <x:v>435</x:v>
      </x:c>
      <x:c r="M255" s="85"/>
    </x:row>
    <x:row r="256" ht="36" customHeight="1">
      <x:c r="A256" s="83" t="n">
        <x:v>255</x:v>
      </x:c>
      <x:c r="B256" s="101">
        <x:v>46905.0</x:v>
      </x:c>
      <x:c r="C256" s="84" t="s">
        <x:v>36</x:v>
      </x:c>
      <x:c r="D256" s="84">
        <x:v>2028.0</x:v>
      </x:c>
      <x:c r="E256" s="84" t="s">
        <x:v>111</x:v>
      </x:c>
      <x:c r="F256" s="84" t="s">
        <x:v>389</x:v>
      </x:c>
      <x:c r="G256" s="84" t="s">
        <x:v>440</x:v>
      </x:c>
      <x:c r="H256" s="84" t="s">
        <x:v>441</x:v>
      </x:c>
      <x:c r="I256" s="84"/>
      <x:c r="J256" s="84" t="s">
        <x:v>19</x:v>
      </x:c>
      <x:c r="K256" s="84" t="s">
        <x:v>27</x:v>
      </x:c>
      <x:c r="L256" s="84" t="s">
        <x:v>442</x:v>
      </x:c>
      <x:c r="M256" s="85"/>
    </x:row>
    <x:row r="257" ht="36" customHeight="1">
      <x:c r="A257" s="83" t="n">
        <x:v>256</x:v>
      </x:c>
      <x:c r="B257" s="101">
        <x:v>46905.0</x:v>
      </x:c>
      <x:c r="C257" s="84" t="s">
        <x:v>36</x:v>
      </x:c>
      <x:c r="D257" s="84">
        <x:v>2028.0</x:v>
      </x:c>
      <x:c r="E257" s="84" t="s">
        <x:v>111</x:v>
      </x:c>
      <x:c r="F257" s="84" t="s">
        <x:v>389</x:v>
      </x:c>
      <x:c r="G257" s="84" t="s">
        <x:v>443</x:v>
      </x:c>
      <x:c r="H257" s="84" t="s">
        <x:v>441</x:v>
      </x:c>
      <x:c r="I257" s="84"/>
      <x:c r="J257" s="84" t="s">
        <x:v>19</x:v>
      </x:c>
      <x:c r="K257" s="84" t="s">
        <x:v>27</x:v>
      </x:c>
      <x:c r="L257" s="84" t="s">
        <x:v>442</x:v>
      </x:c>
      <x:c r="M257" s="85"/>
    </x:row>
    <x:row r="258" ht="36" customHeight="1">
      <x:c r="A258" s="83" t="n">
        <x:v>257</x:v>
      </x:c>
      <x:c r="B258" s="101">
        <x:v>46905.0</x:v>
      </x:c>
      <x:c r="C258" s="84" t="s">
        <x:v>36</x:v>
      </x:c>
      <x:c r="D258" s="84">
        <x:v>2028.0</x:v>
      </x:c>
      <x:c r="E258" s="84" t="s">
        <x:v>111</x:v>
      </x:c>
      <x:c r="F258" s="84" t="s">
        <x:v>292</x:v>
      </x:c>
      <x:c r="G258" s="84" t="s">
        <x:v>444</x:v>
      </x:c>
      <x:c r="H258" s="84" t="s">
        <x:v>112</x:v>
      </x:c>
      <x:c r="I258" s="84"/>
      <x:c r="J258" s="84" t="s">
        <x:v>19</x:v>
      </x:c>
      <x:c r="K258" s="84" t="s">
        <x:v>27</x:v>
      </x:c>
      <x:c r="L258" s="84" t="s">
        <x:v>445</x:v>
      </x:c>
      <x:c r="M258" s="85"/>
    </x:row>
    <x:row r="259" ht="36" customHeight="1">
      <x:c r="A259" s="83" t="n">
        <x:v>258</x:v>
      </x:c>
      <x:c r="B259" s="101">
        <x:v>46905.0</x:v>
      </x:c>
      <x:c r="C259" s="84" t="s">
        <x:v>36</x:v>
      </x:c>
      <x:c r="D259" s="84">
        <x:v>2028.0</x:v>
      </x:c>
      <x:c r="E259" s="84" t="s">
        <x:v>111</x:v>
      </x:c>
      <x:c r="F259" s="84" t="s">
        <x:v>309</x:v>
      </x:c>
      <x:c r="G259" s="84" t="s">
        <x:v>446</x:v>
      </x:c>
      <x:c r="H259" s="84" t="s">
        <x:v>311</x:v>
      </x:c>
      <x:c r="I259" s="84"/>
      <x:c r="J259" s="84" t="s">
        <x:v>19</x:v>
      </x:c>
      <x:c r="K259" s="84" t="s">
        <x:v>27</x:v>
      </x:c>
      <x:c r="L259" s="84" t="s">
        <x:v>447</x:v>
      </x:c>
      <x:c r="M259" s="85"/>
    </x:row>
    <x:row r="260" ht="36" customHeight="1">
      <x:c r="A260" s="83" t="n">
        <x:v>259</x:v>
      </x:c>
      <x:c r="B260" s="101">
        <x:v>46905.0</x:v>
      </x:c>
      <x:c r="C260" s="84" t="s">
        <x:v>36</x:v>
      </x:c>
      <x:c r="D260" s="84">
        <x:v>2028.0</x:v>
      </x:c>
      <x:c r="E260" s="84" t="s">
        <x:v>111</x:v>
      </x:c>
      <x:c r="F260" s="84" t="s">
        <x:v>309</x:v>
      </x:c>
      <x:c r="G260" s="84" t="s">
        <x:v>448</x:v>
      </x:c>
      <x:c r="H260" s="84" t="s">
        <x:v>311</x:v>
      </x:c>
      <x:c r="I260" s="84"/>
      <x:c r="J260" s="84" t="s">
        <x:v>19</x:v>
      </x:c>
      <x:c r="K260" s="84" t="s">
        <x:v>27</x:v>
      </x:c>
      <x:c r="L260" s="84" t="s">
        <x:v>447</x:v>
      </x:c>
      <x:c r="M260" s="85"/>
    </x:row>
    <x:row r="261" ht="36" customHeight="1">
      <x:c r="A261" s="83" t="n">
        <x:v>260</x:v>
      </x:c>
      <x:c r="B261" s="101">
        <x:v>46935.0</x:v>
      </x:c>
      <x:c r="C261" s="84" t="s">
        <x:v>47</x:v>
      </x:c>
      <x:c r="D261" s="84">
        <x:v>2028.0</x:v>
      </x:c>
      <x:c r="E261" s="84" t="s">
        <x:v>111</x:v>
      </x:c>
      <x:c r="F261" s="84" t="s">
        <x:v>341</x:v>
      </x:c>
      <x:c r="G261" s="84" t="s">
        <x:v>449</x:v>
      </x:c>
      <x:c r="H261" s="84" t="s">
        <x:v>112</x:v>
      </x:c>
      <x:c r="I261" s="84"/>
      <x:c r="J261" s="84" t="s">
        <x:v>19</x:v>
      </x:c>
      <x:c r="K261" s="84" t="s">
        <x:v>27</x:v>
      </x:c>
      <x:c r="L261" s="84" t="s">
        <x:v>450</x:v>
      </x:c>
      <x:c r="M261" s="85"/>
    </x:row>
    <x:row r="262" ht="36" customHeight="1">
      <x:c r="A262" s="83" t="n">
        <x:v>261</x:v>
      </x:c>
      <x:c r="B262" s="101">
        <x:v>46935.0</x:v>
      </x:c>
      <x:c r="C262" s="84" t="s">
        <x:v>47</x:v>
      </x:c>
      <x:c r="D262" s="84">
        <x:v>2028.0</x:v>
      </x:c>
      <x:c r="E262" s="84" t="s">
        <x:v>111</x:v>
      </x:c>
      <x:c r="F262" s="84" t="s">
        <x:v>341</x:v>
      </x:c>
      <x:c r="G262" s="84" t="s">
        <x:v>451</x:v>
      </x:c>
      <x:c r="H262" s="84" t="s">
        <x:v>112</x:v>
      </x:c>
      <x:c r="I262" s="84"/>
      <x:c r="J262" s="84" t="s">
        <x:v>19</x:v>
      </x:c>
      <x:c r="K262" s="84" t="s">
        <x:v>27</x:v>
      </x:c>
      <x:c r="L262" s="84" t="s">
        <x:v>450</x:v>
      </x:c>
      <x:c r="M262" s="85"/>
    </x:row>
    <x:row r="263" ht="36" customHeight="1">
      <x:c r="A263" s="83" t="n">
        <x:v>262</x:v>
      </x:c>
      <x:c r="B263" s="101">
        <x:v>46935.0</x:v>
      </x:c>
      <x:c r="C263" s="84" t="s">
        <x:v>47</x:v>
      </x:c>
      <x:c r="D263" s="84">
        <x:v>2028.0</x:v>
      </x:c>
      <x:c r="E263" s="84" t="s">
        <x:v>111</x:v>
      </x:c>
      <x:c r="F263" s="84" t="s">
        <x:v>341</x:v>
      </x:c>
      <x:c r="G263" s="84" t="s">
        <x:v>452</x:v>
      </x:c>
      <x:c r="H263" s="84" t="s">
        <x:v>112</x:v>
      </x:c>
      <x:c r="I263" s="84"/>
      <x:c r="J263" s="84" t="s">
        <x:v>19</x:v>
      </x:c>
      <x:c r="K263" s="84" t="s">
        <x:v>27</x:v>
      </x:c>
      <x:c r="L263" s="84" t="s">
        <x:v>450</x:v>
      </x:c>
      <x:c r="M263" s="85"/>
    </x:row>
    <x:row r="264" ht="36" customHeight="1">
      <x:c r="A264" s="83" t="n">
        <x:v>263</x:v>
      </x:c>
      <x:c r="B264" s="101">
        <x:v>46935.0</x:v>
      </x:c>
      <x:c r="C264" s="84" t="s">
        <x:v>47</x:v>
      </x:c>
      <x:c r="D264" s="84">
        <x:v>2028.0</x:v>
      </x:c>
      <x:c r="E264" s="84" t="s">
        <x:v>111</x:v>
      </x:c>
      <x:c r="F264" s="84" t="s">
        <x:v>341</x:v>
      </x:c>
      <x:c r="G264" s="84" t="s">
        <x:v>453</x:v>
      </x:c>
      <x:c r="H264" s="84" t="s">
        <x:v>112</x:v>
      </x:c>
      <x:c r="I264" s="84"/>
      <x:c r="J264" s="84" t="s">
        <x:v>19</x:v>
      </x:c>
      <x:c r="K264" s="84" t="s">
        <x:v>27</x:v>
      </x:c>
      <x:c r="L264" s="84" t="s">
        <x:v>450</x:v>
      </x:c>
      <x:c r="M264" s="85"/>
    </x:row>
    <x:row r="265" ht="36" customHeight="1">
      <x:c r="A265" s="83" t="n">
        <x:v>264</x:v>
      </x:c>
      <x:c r="B265" s="101">
        <x:v>46935.0</x:v>
      </x:c>
      <x:c r="C265" s="84" t="s">
        <x:v>47</x:v>
      </x:c>
      <x:c r="D265" s="84">
        <x:v>2028.0</x:v>
      </x:c>
      <x:c r="E265" s="84" t="s">
        <x:v>111</x:v>
      </x:c>
      <x:c r="F265" s="84" t="s">
        <x:v>341</x:v>
      </x:c>
      <x:c r="G265" s="84" t="s">
        <x:v>454</x:v>
      </x:c>
      <x:c r="H265" s="84" t="s">
        <x:v>112</x:v>
      </x:c>
      <x:c r="I265" s="84"/>
      <x:c r="J265" s="84" t="s">
        <x:v>19</x:v>
      </x:c>
      <x:c r="K265" s="84" t="s">
        <x:v>27</x:v>
      </x:c>
      <x:c r="L265" s="84" t="s">
        <x:v>450</x:v>
      </x:c>
      <x:c r="M265" s="85"/>
    </x:row>
    <x:row r="266" ht="36" customHeight="1">
      <x:c r="A266" s="83" t="n">
        <x:v>265</x:v>
      </x:c>
      <x:c r="B266" s="101">
        <x:v>46935.0</x:v>
      </x:c>
      <x:c r="C266" s="84" t="s">
        <x:v>47</x:v>
      </x:c>
      <x:c r="D266" s="84">
        <x:v>2028.0</x:v>
      </x:c>
      <x:c r="E266" s="84" t="s">
        <x:v>111</x:v>
      </x:c>
      <x:c r="F266" s="84" t="s">
        <x:v>341</x:v>
      </x:c>
      <x:c r="G266" s="84" t="s">
        <x:v>455</x:v>
      </x:c>
      <x:c r="H266" s="84" t="s">
        <x:v>112</x:v>
      </x:c>
      <x:c r="I266" s="84"/>
      <x:c r="J266" s="84" t="s">
        <x:v>19</x:v>
      </x:c>
      <x:c r="K266" s="84" t="s">
        <x:v>27</x:v>
      </x:c>
      <x:c r="L266" s="84" t="s">
        <x:v>450</x:v>
      </x:c>
      <x:c r="M266" s="85"/>
    </x:row>
    <x:row r="267" ht="36" customHeight="1">
      <x:c r="A267" s="83" t="n">
        <x:v>266</x:v>
      </x:c>
      <x:c r="B267" s="101">
        <x:v>46935.0</x:v>
      </x:c>
      <x:c r="C267" s="84" t="s">
        <x:v>47</x:v>
      </x:c>
      <x:c r="D267" s="84">
        <x:v>2028.0</x:v>
      </x:c>
      <x:c r="E267" s="84" t="s">
        <x:v>111</x:v>
      </x:c>
      <x:c r="F267" s="84" t="s">
        <x:v>288</x:v>
      </x:c>
      <x:c r="G267" s="84" t="s">
        <x:v>456</x:v>
      </x:c>
      <x:c r="H267" s="84" t="s">
        <x:v>457</x:v>
      </x:c>
      <x:c r="I267" s="84"/>
      <x:c r="J267" s="84" t="s">
        <x:v>19</x:v>
      </x:c>
      <x:c r="K267" s="84" t="s">
        <x:v>27</x:v>
      </x:c>
      <x:c r="L267" s="84" t="s">
        <x:v>458</x:v>
      </x:c>
      <x:c r="M267" s="85"/>
    </x:row>
    <x:row r="268" ht="36" customHeight="1">
      <x:c r="A268" s="83" t="n">
        <x:v>267</x:v>
      </x:c>
      <x:c r="B268" s="101">
        <x:v>46935.0</x:v>
      </x:c>
      <x:c r="C268" s="84" t="s">
        <x:v>47</x:v>
      </x:c>
      <x:c r="D268" s="84">
        <x:v>2028.0</x:v>
      </x:c>
      <x:c r="E268" s="84" t="s">
        <x:v>111</x:v>
      </x:c>
      <x:c r="F268" s="84" t="s">
        <x:v>389</x:v>
      </x:c>
      <x:c r="G268" s="84" t="s">
        <x:v>459</x:v>
      </x:c>
      <x:c r="H268" s="84" t="s">
        <x:v>112</x:v>
      </x:c>
      <x:c r="I268" s="84"/>
      <x:c r="J268" s="84" t="s">
        <x:v>19</x:v>
      </x:c>
      <x:c r="K268" s="84" t="s">
        <x:v>27</x:v>
      </x:c>
      <x:c r="L268" s="84" t="s">
        <x:v>460</x:v>
      </x:c>
      <x:c r="M268" s="85"/>
    </x:row>
    <x:row r="269" ht="36" customHeight="1">
      <x:c r="A269" s="83" t="n">
        <x:v>268</x:v>
      </x:c>
      <x:c r="B269" s="101">
        <x:v>46935.0</x:v>
      </x:c>
      <x:c r="C269" s="84" t="s">
        <x:v>47</x:v>
      </x:c>
      <x:c r="D269" s="84">
        <x:v>2028.0</x:v>
      </x:c>
      <x:c r="E269" s="84" t="s">
        <x:v>111</x:v>
      </x:c>
      <x:c r="F269" s="84" t="s">
        <x:v>389</x:v>
      </x:c>
      <x:c r="G269" s="84" t="s">
        <x:v>461</x:v>
      </x:c>
      <x:c r="H269" s="84" t="s">
        <x:v>112</x:v>
      </x:c>
      <x:c r="I269" s="84"/>
      <x:c r="J269" s="84" t="s">
        <x:v>19</x:v>
      </x:c>
      <x:c r="K269" s="84" t="s">
        <x:v>27</x:v>
      </x:c>
      <x:c r="L269" s="84" t="s">
        <x:v>460</x:v>
      </x:c>
      <x:c r="M269" s="85"/>
    </x:row>
    <x:row r="270" ht="36" customHeight="1">
      <x:c r="A270" s="83" t="n">
        <x:v>269</x:v>
      </x:c>
      <x:c r="B270" s="101">
        <x:v>46935.0</x:v>
      </x:c>
      <x:c r="C270" s="84" t="s">
        <x:v>47</x:v>
      </x:c>
      <x:c r="D270" s="84">
        <x:v>2028.0</x:v>
      </x:c>
      <x:c r="E270" s="84" t="s">
        <x:v>111</x:v>
      </x:c>
      <x:c r="F270" s="84" t="s">
        <x:v>389</x:v>
      </x:c>
      <x:c r="G270" s="84" t="s">
        <x:v>462</x:v>
      </x:c>
      <x:c r="H270" s="84" t="s">
        <x:v>112</x:v>
      </x:c>
      <x:c r="I270" s="84"/>
      <x:c r="J270" s="84" t="s">
        <x:v>19</x:v>
      </x:c>
      <x:c r="K270" s="84" t="s">
        <x:v>27</x:v>
      </x:c>
      <x:c r="L270" s="84" t="s">
        <x:v>460</x:v>
      </x:c>
      <x:c r="M270" s="85"/>
    </x:row>
    <x:row r="271" ht="36" customHeight="1">
      <x:c r="A271" s="83" t="n">
        <x:v>270</x:v>
      </x:c>
      <x:c r="B271" s="101">
        <x:v>46935.0</x:v>
      </x:c>
      <x:c r="C271" s="84" t="s">
        <x:v>47</x:v>
      </x:c>
      <x:c r="D271" s="84">
        <x:v>2028.0</x:v>
      </x:c>
      <x:c r="E271" s="84" t="s">
        <x:v>463</x:v>
      </x:c>
      <x:c r="F271" s="84" t="s">
        <x:v>15</x:v>
      </x:c>
      <x:c r="G271" s="84" t="s">
        <x:v>464</x:v>
      </x:c>
      <x:c r="H271" s="84" t="s">
        <x:v>465</x:v>
      </x:c>
      <x:c r="I271" s="84"/>
      <x:c r="J271" s="84" t="s">
        <x:v>19</x:v>
      </x:c>
      <x:c r="K271" s="84" t="s">
        <x:v>27</x:v>
      </x:c>
      <x:c r="L271" s="84" t="s">
        <x:v>466</x:v>
      </x:c>
      <x:c r="M271" s="85"/>
    </x:row>
    <x:row r="272" ht="36" customHeight="1">
      <x:c r="A272" s="83" t="n">
        <x:v>271</x:v>
      </x:c>
      <x:c r="B272" s="101">
        <x:v>46966.0</x:v>
      </x:c>
      <x:c r="C272" s="84" t="s">
        <x:v>81</x:v>
      </x:c>
      <x:c r="D272" s="84">
        <x:v>2028.0</x:v>
      </x:c>
      <x:c r="E272" s="84" t="s">
        <x:v>111</x:v>
      </x:c>
      <x:c r="F272" s="84" t="s">
        <x:v>341</x:v>
      </x:c>
      <x:c r="G272" s="84" t="s">
        <x:v>467</x:v>
      </x:c>
      <x:c r="H272" s="84" t="s">
        <x:v>275</x:v>
      </x:c>
      <x:c r="I272" s="84"/>
      <x:c r="J272" s="84" t="s">
        <x:v>19</x:v>
      </x:c>
      <x:c r="K272" s="84" t="s">
        <x:v>27</x:v>
      </x:c>
      <x:c r="L272" s="84" t="s">
        <x:v>468</x:v>
      </x:c>
      <x:c r="M272" s="85"/>
    </x:row>
    <x:row r="273" ht="36" customHeight="1">
      <x:c r="A273" s="83" t="n">
        <x:v>272</x:v>
      </x:c>
      <x:c r="B273" s="101">
        <x:v>46966.0</x:v>
      </x:c>
      <x:c r="C273" s="84" t="s">
        <x:v>81</x:v>
      </x:c>
      <x:c r="D273" s="84">
        <x:v>2028.0</x:v>
      </x:c>
      <x:c r="E273" s="84" t="s">
        <x:v>111</x:v>
      </x:c>
      <x:c r="F273" s="84" t="s">
        <x:v>341</x:v>
      </x:c>
      <x:c r="G273" s="84" t="s">
        <x:v>469</x:v>
      </x:c>
      <x:c r="H273" s="84" t="s">
        <x:v>275</x:v>
      </x:c>
      <x:c r="I273" s="84"/>
      <x:c r="J273" s="84" t="s">
        <x:v>19</x:v>
      </x:c>
      <x:c r="K273" s="84" t="s">
        <x:v>27</x:v>
      </x:c>
      <x:c r="L273" s="84" t="s">
        <x:v>468</x:v>
      </x:c>
      <x:c r="M273" s="85"/>
    </x:row>
    <x:row r="274" ht="36" customHeight="1">
      <x:c r="A274" s="83" t="n">
        <x:v>273</x:v>
      </x:c>
      <x:c r="B274" s="101">
        <x:v>46966.0</x:v>
      </x:c>
      <x:c r="C274" s="84" t="s">
        <x:v>81</x:v>
      </x:c>
      <x:c r="D274" s="84">
        <x:v>2028.0</x:v>
      </x:c>
      <x:c r="E274" s="84" t="s">
        <x:v>111</x:v>
      </x:c>
      <x:c r="F274" s="84" t="s">
        <x:v>341</x:v>
      </x:c>
      <x:c r="G274" s="84" t="s">
        <x:v>470</x:v>
      </x:c>
      <x:c r="H274" s="84" t="s">
        <x:v>275</x:v>
      </x:c>
      <x:c r="I274" s="84"/>
      <x:c r="J274" s="84" t="s">
        <x:v>19</x:v>
      </x:c>
      <x:c r="K274" s="84" t="s">
        <x:v>27</x:v>
      </x:c>
      <x:c r="L274" s="84" t="s">
        <x:v>468</x:v>
      </x:c>
      <x:c r="M274" s="85"/>
    </x:row>
    <x:row r="275" ht="36" customHeight="1">
      <x:c r="A275" s="83" t="n">
        <x:v>274</x:v>
      </x:c>
      <x:c r="B275" s="101">
        <x:v>46966.0</x:v>
      </x:c>
      <x:c r="C275" s="84" t="s">
        <x:v>81</x:v>
      </x:c>
      <x:c r="D275" s="84">
        <x:v>2028.0</x:v>
      </x:c>
      <x:c r="E275" s="84" t="s">
        <x:v>111</x:v>
      </x:c>
      <x:c r="F275" s="84" t="s">
        <x:v>341</x:v>
      </x:c>
      <x:c r="G275" s="84" t="s">
        <x:v>471</x:v>
      </x:c>
      <x:c r="H275" s="84" t="s">
        <x:v>275</x:v>
      </x:c>
      <x:c r="I275" s="84"/>
      <x:c r="J275" s="84" t="s">
        <x:v>19</x:v>
      </x:c>
      <x:c r="K275" s="84" t="s">
        <x:v>27</x:v>
      </x:c>
      <x:c r="L275" s="84" t="s">
        <x:v>468</x:v>
      </x:c>
      <x:c r="M275" s="85"/>
    </x:row>
    <x:row r="276" ht="36" customHeight="1">
      <x:c r="A276" s="83" t="n">
        <x:v>275</x:v>
      </x:c>
      <x:c r="B276" s="101">
        <x:v>46966.0</x:v>
      </x:c>
      <x:c r="C276" s="84" t="s">
        <x:v>81</x:v>
      </x:c>
      <x:c r="D276" s="84">
        <x:v>2028.0</x:v>
      </x:c>
      <x:c r="E276" s="84" t="s">
        <x:v>111</x:v>
      </x:c>
      <x:c r="F276" s="84" t="s">
        <x:v>341</x:v>
      </x:c>
      <x:c r="G276" s="84" t="s">
        <x:v>472</x:v>
      </x:c>
      <x:c r="H276" s="84" t="s">
        <x:v>275</x:v>
      </x:c>
      <x:c r="I276" s="84"/>
      <x:c r="J276" s="84" t="s">
        <x:v>19</x:v>
      </x:c>
      <x:c r="K276" s="84" t="s">
        <x:v>27</x:v>
      </x:c>
      <x:c r="L276" s="84" t="s">
        <x:v>468</x:v>
      </x:c>
      <x:c r="M276" s="85"/>
    </x:row>
    <x:row r="277" ht="36" customHeight="1">
      <x:c r="A277" s="83" t="n">
        <x:v>276</x:v>
      </x:c>
      <x:c r="B277" s="101">
        <x:v>46966.0</x:v>
      </x:c>
      <x:c r="C277" s="84" t="s">
        <x:v>81</x:v>
      </x:c>
      <x:c r="D277" s="84">
        <x:v>2028.0</x:v>
      </x:c>
      <x:c r="E277" s="84" t="s">
        <x:v>111</x:v>
      </x:c>
      <x:c r="F277" s="84" t="s">
        <x:v>341</x:v>
      </x:c>
      <x:c r="G277" s="84" t="s">
        <x:v>473</x:v>
      </x:c>
      <x:c r="H277" s="84" t="s">
        <x:v>275</x:v>
      </x:c>
      <x:c r="I277" s="84"/>
      <x:c r="J277" s="84" t="s">
        <x:v>19</x:v>
      </x:c>
      <x:c r="K277" s="84" t="s">
        <x:v>27</x:v>
      </x:c>
      <x:c r="L277" s="84" t="s">
        <x:v>468</x:v>
      </x:c>
      <x:c r="M277" s="85"/>
    </x:row>
    <x:row r="278" ht="36" customHeight="1">
      <x:c r="A278" s="83" t="n">
        <x:v>277</x:v>
      </x:c>
      <x:c r="B278" s="101">
        <x:v>46966.0</x:v>
      </x:c>
      <x:c r="C278" s="84" t="s">
        <x:v>81</x:v>
      </x:c>
      <x:c r="D278" s="84">
        <x:v>2028.0</x:v>
      </x:c>
      <x:c r="E278" s="84" t="s">
        <x:v>111</x:v>
      </x:c>
      <x:c r="F278" s="84" t="s">
        <x:v>288</x:v>
      </x:c>
      <x:c r="G278" s="84" t="s">
        <x:v>474</x:v>
      </x:c>
      <x:c r="H278" s="84" t="s">
        <x:v>457</x:v>
      </x:c>
      <x:c r="I278" s="84"/>
      <x:c r="J278" s="84" t="s">
        <x:v>19</x:v>
      </x:c>
      <x:c r="K278" s="84" t="s">
        <x:v>27</x:v>
      </x:c>
      <x:c r="L278" s="84" t="s">
        <x:v>475</x:v>
      </x:c>
      <x:c r="M278" s="85"/>
    </x:row>
    <x:row r="279" ht="36" customHeight="1">
      <x:c r="A279" s="83" t="n">
        <x:v>278</x:v>
      </x:c>
      <x:c r="B279" s="101">
        <x:v>46966.0</x:v>
      </x:c>
      <x:c r="C279" s="84" t="s">
        <x:v>81</x:v>
      </x:c>
      <x:c r="D279" s="84">
        <x:v>2028.0</x:v>
      </x:c>
      <x:c r="E279" s="84" t="s">
        <x:v>111</x:v>
      </x:c>
      <x:c r="F279" s="84" t="s">
        <x:v>292</x:v>
      </x:c>
      <x:c r="G279" s="84" t="s">
        <x:v>476</x:v>
      </x:c>
      <x:c r="H279" s="84" t="s">
        <x:v>112</x:v>
      </x:c>
      <x:c r="I279" s="84"/>
      <x:c r="J279" s="84" t="s">
        <x:v>19</x:v>
      </x:c>
      <x:c r="K279" s="84" t="s">
        <x:v>27</x:v>
      </x:c>
      <x:c r="L279" s="84" t="s">
        <x:v>477</x:v>
      </x:c>
      <x:c r="M279" s="85"/>
    </x:row>
    <x:row r="280" ht="36" customHeight="1">
      <x:c r="A280" s="83" t="n">
        <x:v>279</x:v>
      </x:c>
      <x:c r="B280" s="101">
        <x:v>46966.0</x:v>
      </x:c>
      <x:c r="C280" s="84" t="s">
        <x:v>81</x:v>
      </x:c>
      <x:c r="D280" s="84">
        <x:v>2028.0</x:v>
      </x:c>
      <x:c r="E280" s="84" t="s">
        <x:v>111</x:v>
      </x:c>
      <x:c r="F280" s="84" t="s">
        <x:v>389</x:v>
      </x:c>
      <x:c r="G280" s="84" t="s">
        <x:v>478</x:v>
      </x:c>
      <x:c r="H280" s="84" t="s">
        <x:v>112</x:v>
      </x:c>
      <x:c r="I280" s="84"/>
      <x:c r="J280" s="84" t="s">
        <x:v>19</x:v>
      </x:c>
      <x:c r="K280" s="84" t="s">
        <x:v>27</x:v>
      </x:c>
      <x:c r="L280" s="84" t="s">
        <x:v>479</x:v>
      </x:c>
      <x:c r="M280" s="85"/>
    </x:row>
    <x:row r="281" ht="36" customHeight="1">
      <x:c r="A281" s="83" t="n">
        <x:v>280</x:v>
      </x:c>
      <x:c r="B281" s="101">
        <x:v>46966.0</x:v>
      </x:c>
      <x:c r="C281" s="84" t="s">
        <x:v>81</x:v>
      </x:c>
      <x:c r="D281" s="84">
        <x:v>2028.0</x:v>
      </x:c>
      <x:c r="E281" s="84" t="s">
        <x:v>91</x:v>
      </x:c>
      <x:c r="F281" s="84" t="s">
        <x:v>92</x:v>
      </x:c>
      <x:c r="G281" s="84" t="s">
        <x:v>480</x:v>
      </x:c>
      <x:c r="H281" s="84" t="s">
        <x:v>94</x:v>
      </x:c>
      <x:c r="I281" s="84"/>
      <x:c r="J281" s="84" t="s">
        <x:v>19</x:v>
      </x:c>
      <x:c r="K281" s="84" t="s">
        <x:v>27</x:v>
      </x:c>
      <x:c r="L281" s="84" t="s">
        <x:v>481</x:v>
      </x:c>
      <x:c r="M281" s="85"/>
    </x:row>
    <x:row r="282" ht="36" customHeight="1">
      <x:c r="A282" s="83" t="n">
        <x:v>281</x:v>
      </x:c>
      <x:c r="B282" s="101">
        <x:v>46966.0</x:v>
      </x:c>
      <x:c r="C282" s="84" t="s">
        <x:v>81</x:v>
      </x:c>
      <x:c r="D282" s="84">
        <x:v>2028.0</x:v>
      </x:c>
      <x:c r="E282" s="84" t="s">
        <x:v>111</x:v>
      </x:c>
      <x:c r="F282" s="84" t="s">
        <x:v>309</x:v>
      </x:c>
      <x:c r="G282" s="84" t="s">
        <x:v>482</x:v>
      </x:c>
      <x:c r="H282" s="84" t="s">
        <x:v>311</x:v>
      </x:c>
      <x:c r="I282" s="84"/>
      <x:c r="J282" s="84" t="s">
        <x:v>19</x:v>
      </x:c>
      <x:c r="K282" s="84" t="s">
        <x:v>27</x:v>
      </x:c>
      <x:c r="L282" s="84" t="s">
        <x:v>483</x:v>
      </x:c>
      <x:c r="M282" s="85"/>
    </x:row>
    <x:row r="283" ht="36" customHeight="1">
      <x:c r="A283" s="83" t="n">
        <x:v>282</x:v>
      </x:c>
      <x:c r="B283" s="101">
        <x:v>46997.0</x:v>
      </x:c>
      <x:c r="C283" s="84" t="s">
        <x:v>105</x:v>
      </x:c>
      <x:c r="D283" s="84">
        <x:v>2028.0</x:v>
      </x:c>
      <x:c r="E283" s="84" t="s">
        <x:v>111</x:v>
      </x:c>
      <x:c r="F283" s="84" t="s">
        <x:v>309</x:v>
      </x:c>
      <x:c r="G283" s="84" t="s">
        <x:v>484</x:v>
      </x:c>
      <x:c r="H283" s="84" t="s">
        <x:v>485</x:v>
      </x:c>
      <x:c r="I283" s="84"/>
      <x:c r="J283" s="84" t="s">
        <x:v>19</x:v>
      </x:c>
      <x:c r="K283" s="84" t="s">
        <x:v>27</x:v>
      </x:c>
      <x:c r="L283" s="84" t="s">
        <x:v>486</x:v>
      </x:c>
      <x:c r="M283" s="85"/>
    </x:row>
    <x:row r="284" ht="36" customHeight="1">
      <x:c r="A284" s="83" t="n">
        <x:v>283</x:v>
      </x:c>
      <x:c r="B284" s="101">
        <x:v>46997.0</x:v>
      </x:c>
      <x:c r="C284" s="84" t="s">
        <x:v>105</x:v>
      </x:c>
      <x:c r="D284" s="84">
        <x:v>2028.0</x:v>
      </x:c>
      <x:c r="E284" s="84" t="s">
        <x:v>111</x:v>
      </x:c>
      <x:c r="F284" s="84" t="s">
        <x:v>309</x:v>
      </x:c>
      <x:c r="G284" s="84" t="s">
        <x:v>487</x:v>
      </x:c>
      <x:c r="H284" s="84" t="s">
        <x:v>485</x:v>
      </x:c>
      <x:c r="I284" s="84"/>
      <x:c r="J284" s="84" t="s">
        <x:v>19</x:v>
      </x:c>
      <x:c r="K284" s="84" t="s">
        <x:v>27</x:v>
      </x:c>
      <x:c r="L284" s="84" t="s">
        <x:v>486</x:v>
      </x:c>
      <x:c r="M284" s="85"/>
    </x:row>
    <x:row r="285" ht="36" customHeight="1">
      <x:c r="A285" s="83" t="n">
        <x:v>284</x:v>
      </x:c>
      <x:c r="B285" s="101">
        <x:v>46997.0</x:v>
      </x:c>
      <x:c r="C285" s="84" t="s">
        <x:v>105</x:v>
      </x:c>
      <x:c r="D285" s="84">
        <x:v>2028.0</x:v>
      </x:c>
      <x:c r="E285" s="84" t="s">
        <x:v>111</x:v>
      </x:c>
      <x:c r="F285" s="84" t="s">
        <x:v>309</x:v>
      </x:c>
      <x:c r="G285" s="84" t="s">
        <x:v>488</x:v>
      </x:c>
      <x:c r="H285" s="84" t="s">
        <x:v>485</x:v>
      </x:c>
      <x:c r="I285" s="84"/>
      <x:c r="J285" s="84" t="s">
        <x:v>19</x:v>
      </x:c>
      <x:c r="K285" s="84" t="s">
        <x:v>27</x:v>
      </x:c>
      <x:c r="L285" s="84" t="s">
        <x:v>486</x:v>
      </x:c>
      <x:c r="M285" s="85"/>
    </x:row>
    <x:row r="286" ht="36" customHeight="1">
      <x:c r="A286" s="83" t="n">
        <x:v>285</x:v>
      </x:c>
      <x:c r="B286" s="101">
        <x:v>46997.0</x:v>
      </x:c>
      <x:c r="C286" s="84" t="s">
        <x:v>105</x:v>
      </x:c>
      <x:c r="D286" s="84">
        <x:v>2028.0</x:v>
      </x:c>
      <x:c r="E286" s="84" t="s">
        <x:v>111</x:v>
      </x:c>
      <x:c r="F286" s="84" t="s">
        <x:v>309</x:v>
      </x:c>
      <x:c r="G286" s="84" t="s">
        <x:v>489</x:v>
      </x:c>
      <x:c r="H286" s="84" t="s">
        <x:v>485</x:v>
      </x:c>
      <x:c r="I286" s="84"/>
      <x:c r="J286" s="84" t="s">
        <x:v>19</x:v>
      </x:c>
      <x:c r="K286" s="84" t="s">
        <x:v>27</x:v>
      </x:c>
      <x:c r="L286" s="84" t="s">
        <x:v>486</x:v>
      </x:c>
      <x:c r="M286" s="85"/>
    </x:row>
    <x:row r="287" ht="36" customHeight="1">
      <x:c r="A287" s="83" t="n">
        <x:v>286</x:v>
      </x:c>
      <x:c r="B287" s="101">
        <x:v>46997.0</x:v>
      </x:c>
      <x:c r="C287" s="84" t="s">
        <x:v>105</x:v>
      </x:c>
      <x:c r="D287" s="84">
        <x:v>2028.0</x:v>
      </x:c>
      <x:c r="E287" s="84" t="s">
        <x:v>111</x:v>
      </x:c>
      <x:c r="F287" s="84" t="s">
        <x:v>309</x:v>
      </x:c>
      <x:c r="G287" s="84" t="s">
        <x:v>490</x:v>
      </x:c>
      <x:c r="H287" s="84" t="s">
        <x:v>485</x:v>
      </x:c>
      <x:c r="I287" s="84"/>
      <x:c r="J287" s="84" t="s">
        <x:v>19</x:v>
      </x:c>
      <x:c r="K287" s="84" t="s">
        <x:v>27</x:v>
      </x:c>
      <x:c r="L287" s="84" t="s">
        <x:v>486</x:v>
      </x:c>
      <x:c r="M287" s="85"/>
    </x:row>
    <x:row r="288" ht="36" customHeight="1">
      <x:c r="A288" s="83" t="n">
        <x:v>287</x:v>
      </x:c>
      <x:c r="B288" s="101">
        <x:v>46997.0</x:v>
      </x:c>
      <x:c r="C288" s="84" t="s">
        <x:v>105</x:v>
      </x:c>
      <x:c r="D288" s="84">
        <x:v>2028.0</x:v>
      </x:c>
      <x:c r="E288" s="84" t="s">
        <x:v>111</x:v>
      </x:c>
      <x:c r="F288" s="84" t="s">
        <x:v>309</x:v>
      </x:c>
      <x:c r="G288" s="84" t="s">
        <x:v>491</x:v>
      </x:c>
      <x:c r="H288" s="84" t="s">
        <x:v>485</x:v>
      </x:c>
      <x:c r="I288" s="84"/>
      <x:c r="J288" s="84" t="s">
        <x:v>19</x:v>
      </x:c>
      <x:c r="K288" s="84" t="s">
        <x:v>27</x:v>
      </x:c>
      <x:c r="L288" s="84" t="s">
        <x:v>486</x:v>
      </x:c>
      <x:c r="M288" s="85"/>
    </x:row>
    <x:row r="289" ht="36" customHeight="1">
      <x:c r="A289" s="83" t="n">
        <x:v>288</x:v>
      </x:c>
      <x:c r="B289" s="101">
        <x:v>46997.0</x:v>
      </x:c>
      <x:c r="C289" s="84" t="s">
        <x:v>105</x:v>
      </x:c>
      <x:c r="D289" s="84">
        <x:v>2028.0</x:v>
      </x:c>
      <x:c r="E289" s="84" t="s">
        <x:v>111</x:v>
      </x:c>
      <x:c r="F289" s="84" t="s">
        <x:v>309</x:v>
      </x:c>
      <x:c r="G289" s="84" t="s">
        <x:v>492</x:v>
      </x:c>
      <x:c r="H289" s="84" t="s">
        <x:v>485</x:v>
      </x:c>
      <x:c r="I289" s="84"/>
      <x:c r="J289" s="84" t="s">
        <x:v>19</x:v>
      </x:c>
      <x:c r="K289" s="84" t="s">
        <x:v>27</x:v>
      </x:c>
      <x:c r="L289" s="84" t="s">
        <x:v>486</x:v>
      </x:c>
      <x:c r="M289" s="85"/>
    </x:row>
    <x:row r="290" ht="36" customHeight="1">
      <x:c r="A290" s="83" t="n">
        <x:v>289</x:v>
      </x:c>
      <x:c r="B290" s="101">
        <x:v>46997.0</x:v>
      </x:c>
      <x:c r="C290" s="84" t="s">
        <x:v>105</x:v>
      </x:c>
      <x:c r="D290" s="84">
        <x:v>2028.0</x:v>
      </x:c>
      <x:c r="E290" s="84" t="s">
        <x:v>111</x:v>
      </x:c>
      <x:c r="F290" s="84" t="s">
        <x:v>309</x:v>
      </x:c>
      <x:c r="G290" s="84" t="s">
        <x:v>493</x:v>
      </x:c>
      <x:c r="H290" s="84" t="s">
        <x:v>485</x:v>
      </x:c>
      <x:c r="I290" s="84"/>
      <x:c r="J290" s="84" t="s">
        <x:v>19</x:v>
      </x:c>
      <x:c r="K290" s="84" t="s">
        <x:v>27</x:v>
      </x:c>
      <x:c r="L290" s="84" t="s">
        <x:v>486</x:v>
      </x:c>
      <x:c r="M290" s="85"/>
    </x:row>
    <x:row r="291" ht="36" customHeight="1">
      <x:c r="A291" s="83" t="n">
        <x:v>290</x:v>
      </x:c>
      <x:c r="B291" s="101">
        <x:v>46997.0</x:v>
      </x:c>
      <x:c r="C291" s="84" t="s">
        <x:v>105</x:v>
      </x:c>
      <x:c r="D291" s="84">
        <x:v>2028.0</x:v>
      </x:c>
      <x:c r="E291" s="84" t="s">
        <x:v>111</x:v>
      </x:c>
      <x:c r="F291" s="84" t="s">
        <x:v>309</x:v>
      </x:c>
      <x:c r="G291" s="84" t="s">
        <x:v>494</x:v>
      </x:c>
      <x:c r="H291" s="84" t="s">
        <x:v>485</x:v>
      </x:c>
      <x:c r="I291" s="84"/>
      <x:c r="J291" s="84" t="s">
        <x:v>19</x:v>
      </x:c>
      <x:c r="K291" s="84" t="s">
        <x:v>27</x:v>
      </x:c>
      <x:c r="L291" s="84" t="s">
        <x:v>486</x:v>
      </x:c>
      <x:c r="M291" s="85"/>
    </x:row>
    <x:row r="292" ht="36" customHeight="1">
      <x:c r="A292" s="83" t="n">
        <x:v>291</x:v>
      </x:c>
      <x:c r="B292" s="101">
        <x:v>46997.0</x:v>
      </x:c>
      <x:c r="C292" s="84" t="s">
        <x:v>105</x:v>
      </x:c>
      <x:c r="D292" s="84">
        <x:v>2028.0</x:v>
      </x:c>
      <x:c r="E292" s="84" t="s">
        <x:v>111</x:v>
      </x:c>
      <x:c r="F292" s="84" t="s">
        <x:v>309</x:v>
      </x:c>
      <x:c r="G292" s="84" t="s">
        <x:v>495</x:v>
      </x:c>
      <x:c r="H292" s="84" t="s">
        <x:v>485</x:v>
      </x:c>
      <x:c r="I292" s="84"/>
      <x:c r="J292" s="84" t="s">
        <x:v>19</x:v>
      </x:c>
      <x:c r="K292" s="84" t="s">
        <x:v>27</x:v>
      </x:c>
      <x:c r="L292" s="84" t="s">
        <x:v>486</x:v>
      </x:c>
      <x:c r="M292" s="85"/>
    </x:row>
    <x:row r="293" ht="36" customHeight="1">
      <x:c r="A293" s="83" t="n">
        <x:v>292</x:v>
      </x:c>
      <x:c r="B293" s="101">
        <x:v>46997.0</x:v>
      </x:c>
      <x:c r="C293" s="84" t="s">
        <x:v>105</x:v>
      </x:c>
      <x:c r="D293" s="84">
        <x:v>2028.0</x:v>
      </x:c>
      <x:c r="E293" s="84" t="s">
        <x:v>111</x:v>
      </x:c>
      <x:c r="F293" s="84" t="s">
        <x:v>309</x:v>
      </x:c>
      <x:c r="G293" s="84" t="s">
        <x:v>496</x:v>
      </x:c>
      <x:c r="H293" s="84" t="s">
        <x:v>485</x:v>
      </x:c>
      <x:c r="I293" s="84"/>
      <x:c r="J293" s="84" t="s">
        <x:v>19</x:v>
      </x:c>
      <x:c r="K293" s="84" t="s">
        <x:v>27</x:v>
      </x:c>
      <x:c r="L293" s="84" t="s">
        <x:v>486</x:v>
      </x:c>
      <x:c r="M293" s="85"/>
    </x:row>
    <x:row r="294" ht="36" customHeight="1">
      <x:c r="A294" s="83" t="n">
        <x:v>293</x:v>
      </x:c>
      <x:c r="B294" s="101">
        <x:v>46997.0</x:v>
      </x:c>
      <x:c r="C294" s="84" t="s">
        <x:v>105</x:v>
      </x:c>
      <x:c r="D294" s="84">
        <x:v>2028.0</x:v>
      </x:c>
      <x:c r="E294" s="84" t="s">
        <x:v>111</x:v>
      </x:c>
      <x:c r="F294" s="84" t="s">
        <x:v>389</x:v>
      </x:c>
      <x:c r="G294" s="84" t="s">
        <x:v>497</x:v>
      </x:c>
      <x:c r="H294" s="84" t="s">
        <x:v>112</x:v>
      </x:c>
      <x:c r="I294" s="84"/>
      <x:c r="J294" s="84" t="s">
        <x:v>19</x:v>
      </x:c>
      <x:c r="K294" s="84" t="s">
        <x:v>27</x:v>
      </x:c>
      <x:c r="L294" s="84" t="s">
        <x:v>498</x:v>
      </x:c>
      <x:c r="M294" s="85"/>
    </x:row>
    <x:row r="295" ht="36" customHeight="1">
      <x:c r="A295" s="83" t="n">
        <x:v>294</x:v>
      </x:c>
      <x:c r="B295" s="101">
        <x:v>46997.0</x:v>
      </x:c>
      <x:c r="C295" s="84" t="s">
        <x:v>105</x:v>
      </x:c>
      <x:c r="D295" s="84">
        <x:v>2028.0</x:v>
      </x:c>
      <x:c r="E295" s="84" t="s">
        <x:v>111</x:v>
      </x:c>
      <x:c r="F295" s="84" t="s">
        <x:v>292</x:v>
      </x:c>
      <x:c r="G295" s="84" t="s">
        <x:v>499</x:v>
      </x:c>
      <x:c r="H295" s="84" t="s">
        <x:v>112</x:v>
      </x:c>
      <x:c r="I295" s="84"/>
      <x:c r="J295" s="84" t="s">
        <x:v>19</x:v>
      </x:c>
      <x:c r="K295" s="84" t="s">
        <x:v>27</x:v>
      </x:c>
      <x:c r="L295" s="84" t="s">
        <x:v>477</x:v>
      </x:c>
      <x:c r="M295" s="85"/>
    </x:row>
    <x:row r="296" ht="36" customHeight="1">
      <x:c r="A296" s="83" t="n">
        <x:v>295</x:v>
      </x:c>
      <x:c r="B296" s="101">
        <x:v>46997.0</x:v>
      </x:c>
      <x:c r="C296" s="84" t="s">
        <x:v>105</x:v>
      </x:c>
      <x:c r="D296" s="84">
        <x:v>2028.0</x:v>
      </x:c>
      <x:c r="E296" s="84" t="s">
        <x:v>91</x:v>
      </x:c>
      <x:c r="F296" s="84" t="s">
        <x:v>92</x:v>
      </x:c>
      <x:c r="G296" s="84" t="s">
        <x:v>500</x:v>
      </x:c>
      <x:c r="H296" s="84" t="s">
        <x:v>501</x:v>
      </x:c>
      <x:c r="I296" s="84"/>
      <x:c r="J296" s="84" t="s">
        <x:v>19</x:v>
      </x:c>
      <x:c r="K296" s="84" t="s">
        <x:v>27</x:v>
      </x:c>
      <x:c r="L296" s="84" t="s">
        <x:v>502</x:v>
      </x:c>
      <x:c r="M296" s="85"/>
    </x:row>
    <x:row r="297" ht="36" customHeight="1">
      <x:c r="A297" s="83" t="n">
        <x:v>296</x:v>
      </x:c>
      <x:c r="B297" s="101">
        <x:v>46997.0</x:v>
      </x:c>
      <x:c r="C297" s="84" t="s">
        <x:v>105</x:v>
      </x:c>
      <x:c r="D297" s="84">
        <x:v>2028.0</x:v>
      </x:c>
      <x:c r="E297" s="84" t="s">
        <x:v>91</x:v>
      </x:c>
      <x:c r="F297" s="84" t="s">
        <x:v>92</x:v>
      </x:c>
      <x:c r="G297" s="84" t="s">
        <x:v>503</x:v>
      </x:c>
      <x:c r="H297" s="84" t="s">
        <x:v>501</x:v>
      </x:c>
      <x:c r="I297" s="84"/>
      <x:c r="J297" s="84" t="s">
        <x:v>19</x:v>
      </x:c>
      <x:c r="K297" s="84" t="s">
        <x:v>27</x:v>
      </x:c>
      <x:c r="L297" s="84" t="s">
        <x:v>502</x:v>
      </x:c>
      <x:c r="M297" s="85"/>
    </x:row>
    <x:row r="298" ht="36" customHeight="1">
      <x:c r="A298" s="83" t="n">
        <x:v>297</x:v>
      </x:c>
      <x:c r="B298" s="101">
        <x:v>47027.0</x:v>
      </x:c>
      <x:c r="C298" s="84" t="s">
        <x:v>120</x:v>
      </x:c>
      <x:c r="D298" s="84">
        <x:v>2028.0</x:v>
      </x:c>
      <x:c r="E298" s="84" t="s">
        <x:v>111</x:v>
      </x:c>
      <x:c r="F298" s="84" t="s">
        <x:v>504</x:v>
      </x:c>
      <x:c r="G298" s="84" t="s">
        <x:v>505</x:v>
      </x:c>
      <x:c r="H298" s="84" t="s">
        <x:v>506</x:v>
      </x:c>
      <x:c r="I298" s="84"/>
      <x:c r="J298" s="84" t="s">
        <x:v>19</x:v>
      </x:c>
      <x:c r="K298" s="131" t="s">
        <x:v>20</x:v>
      </x:c>
      <x:c r="L298" s="84" t="s">
        <x:v>507</x:v>
      </x:c>
      <x:c r="M298" s="85"/>
    </x:row>
    <x:row r="299" ht="36" customHeight="1">
      <x:c r="A299" s="83" t="n">
        <x:v>298</x:v>
      </x:c>
      <x:c r="B299" s="101">
        <x:v>47027.0</x:v>
      </x:c>
      <x:c r="C299" s="84" t="s">
        <x:v>120</x:v>
      </x:c>
      <x:c r="D299" s="84">
        <x:v>2028.0</x:v>
      </x:c>
      <x:c r="E299" s="84" t="s">
        <x:v>111</x:v>
      </x:c>
      <x:c r="F299" s="84" t="s">
        <x:v>504</x:v>
      </x:c>
      <x:c r="G299" s="84" t="s">
        <x:v>508</x:v>
      </x:c>
      <x:c r="H299" s="84" t="s">
        <x:v>506</x:v>
      </x:c>
      <x:c r="I299" s="84"/>
      <x:c r="J299" s="84" t="s">
        <x:v>19</x:v>
      </x:c>
      <x:c r="K299" s="131" t="s">
        <x:v>20</x:v>
      </x:c>
      <x:c r="L299" s="84" t="s">
        <x:v>507</x:v>
      </x:c>
      <x:c r="M299" s="85"/>
    </x:row>
    <x:row r="300" ht="36" customHeight="1">
      <x:c r="A300" s="83" t="n">
        <x:v>299</x:v>
      </x:c>
      <x:c r="B300" s="101">
        <x:v>47027.0</x:v>
      </x:c>
      <x:c r="C300" s="84" t="s">
        <x:v>120</x:v>
      </x:c>
      <x:c r="D300" s="84">
        <x:v>2028.0</x:v>
      </x:c>
      <x:c r="E300" s="84" t="s">
        <x:v>111</x:v>
      </x:c>
      <x:c r="F300" s="84" t="s">
        <x:v>504</x:v>
      </x:c>
      <x:c r="G300" s="84" t="s">
        <x:v>509</x:v>
      </x:c>
      <x:c r="H300" s="84" t="s">
        <x:v>506</x:v>
      </x:c>
      <x:c r="I300" s="84"/>
      <x:c r="J300" s="84" t="s">
        <x:v>19</x:v>
      </x:c>
      <x:c r="K300" s="131" t="s">
        <x:v>20</x:v>
      </x:c>
      <x:c r="L300" s="84" t="s">
        <x:v>507</x:v>
      </x:c>
      <x:c r="M300" s="85"/>
    </x:row>
    <x:row r="301" ht="36" customHeight="1">
      <x:c r="A301" s="83" t="n">
        <x:v>300</x:v>
      </x:c>
      <x:c r="B301" s="101">
        <x:v>47027.0</x:v>
      </x:c>
      <x:c r="C301" s="84" t="s">
        <x:v>120</x:v>
      </x:c>
      <x:c r="D301" s="84">
        <x:v>2028.0</x:v>
      </x:c>
      <x:c r="E301" s="84" t="s">
        <x:v>111</x:v>
      </x:c>
      <x:c r="F301" s="84" t="s">
        <x:v>504</x:v>
      </x:c>
      <x:c r="G301" s="84" t="s">
        <x:v>510</x:v>
      </x:c>
      <x:c r="H301" s="84" t="s">
        <x:v>506</x:v>
      </x:c>
      <x:c r="I301" s="84"/>
      <x:c r="J301" s="84" t="s">
        <x:v>19</x:v>
      </x:c>
      <x:c r="K301" s="131" t="s">
        <x:v>20</x:v>
      </x:c>
      <x:c r="L301" s="84" t="s">
        <x:v>507</x:v>
      </x:c>
      <x:c r="M301" s="85"/>
    </x:row>
    <x:row r="302" ht="36" customHeight="1">
      <x:c r="A302" s="83" t="n">
        <x:v>301</x:v>
      </x:c>
      <x:c r="B302" s="101">
        <x:v>47027.0</x:v>
      </x:c>
      <x:c r="C302" s="84" t="s">
        <x:v>120</x:v>
      </x:c>
      <x:c r="D302" s="84">
        <x:v>2028.0</x:v>
      </x:c>
      <x:c r="E302" s="84" t="s">
        <x:v>111</x:v>
      </x:c>
      <x:c r="F302" s="84" t="s">
        <x:v>504</x:v>
      </x:c>
      <x:c r="G302" s="84" t="s">
        <x:v>511</x:v>
      </x:c>
      <x:c r="H302" s="84" t="s">
        <x:v>506</x:v>
      </x:c>
      <x:c r="I302" s="84"/>
      <x:c r="J302" s="84" t="s">
        <x:v>19</x:v>
      </x:c>
      <x:c r="K302" s="131" t="s">
        <x:v>20</x:v>
      </x:c>
      <x:c r="L302" s="84" t="s">
        <x:v>507</x:v>
      </x:c>
      <x:c r="M302" s="85"/>
    </x:row>
    <x:row r="303" ht="36" customHeight="1">
      <x:c r="A303" s="83" t="n">
        <x:v>302</x:v>
      </x:c>
      <x:c r="B303" s="101">
        <x:v>47027.0</x:v>
      </x:c>
      <x:c r="C303" s="84" t="s">
        <x:v>120</x:v>
      </x:c>
      <x:c r="D303" s="84">
        <x:v>2028.0</x:v>
      </x:c>
      <x:c r="E303" s="84" t="s">
        <x:v>111</x:v>
      </x:c>
      <x:c r="F303" s="84" t="s">
        <x:v>504</x:v>
      </x:c>
      <x:c r="G303" s="84" t="s">
        <x:v>512</x:v>
      </x:c>
      <x:c r="H303" s="84" t="s">
        <x:v>506</x:v>
      </x:c>
      <x:c r="I303" s="84"/>
      <x:c r="J303" s="84" t="s">
        <x:v>19</x:v>
      </x:c>
      <x:c r="K303" s="131" t="s">
        <x:v>20</x:v>
      </x:c>
      <x:c r="L303" s="84" t="s">
        <x:v>507</x:v>
      </x:c>
      <x:c r="M303" s="85"/>
    </x:row>
    <x:row r="304" ht="36" customHeight="1">
      <x:c r="A304" s="83" t="n">
        <x:v>303</x:v>
      </x:c>
      <x:c r="B304" s="101">
        <x:v>47027.0</x:v>
      </x:c>
      <x:c r="C304" s="84" t="s">
        <x:v>120</x:v>
      </x:c>
      <x:c r="D304" s="84">
        <x:v>2028.0</x:v>
      </x:c>
      <x:c r="E304" s="84" t="s">
        <x:v>111</x:v>
      </x:c>
      <x:c r="F304" s="84" t="s">
        <x:v>504</x:v>
      </x:c>
      <x:c r="G304" s="84" t="s">
        <x:v>513</x:v>
      </x:c>
      <x:c r="H304" s="84" t="s">
        <x:v>506</x:v>
      </x:c>
      <x:c r="I304" s="84"/>
      <x:c r="J304" s="84" t="s">
        <x:v>19</x:v>
      </x:c>
      <x:c r="K304" s="131" t="s">
        <x:v>20</x:v>
      </x:c>
      <x:c r="L304" s="84" t="s">
        <x:v>507</x:v>
      </x:c>
      <x:c r="M304" s="85"/>
    </x:row>
    <x:row r="305" ht="36" customHeight="1">
      <x:c r="A305" s="83" t="n">
        <x:v>304</x:v>
      </x:c>
      <x:c r="B305" s="101">
        <x:v>47027.0</x:v>
      </x:c>
      <x:c r="C305" s="84" t="s">
        <x:v>120</x:v>
      </x:c>
      <x:c r="D305" s="84">
        <x:v>2028.0</x:v>
      </x:c>
      <x:c r="E305" s="84" t="s">
        <x:v>111</x:v>
      </x:c>
      <x:c r="F305" s="84" t="s">
        <x:v>504</x:v>
      </x:c>
      <x:c r="G305" s="84" t="s">
        <x:v>514</x:v>
      </x:c>
      <x:c r="H305" s="84" t="s">
        <x:v>506</x:v>
      </x:c>
      <x:c r="I305" s="84"/>
      <x:c r="J305" s="84" t="s">
        <x:v>19</x:v>
      </x:c>
      <x:c r="K305" s="131" t="s">
        <x:v>20</x:v>
      </x:c>
      <x:c r="L305" s="84" t="s">
        <x:v>507</x:v>
      </x:c>
      <x:c r="M305" s="85"/>
    </x:row>
    <x:row r="306" ht="36" customHeight="1">
      <x:c r="A306" s="83" t="n">
        <x:v>305</x:v>
      </x:c>
      <x:c r="B306" s="101">
        <x:v>47027.0</x:v>
      </x:c>
      <x:c r="C306" s="84" t="s">
        <x:v>120</x:v>
      </x:c>
      <x:c r="D306" s="84">
        <x:v>2028.0</x:v>
      </x:c>
      <x:c r="E306" s="84" t="s">
        <x:v>111</x:v>
      </x:c>
      <x:c r="F306" s="84" t="s">
        <x:v>504</x:v>
      </x:c>
      <x:c r="G306" s="84" t="s">
        <x:v>515</x:v>
      </x:c>
      <x:c r="H306" s="84" t="s">
        <x:v>506</x:v>
      </x:c>
      <x:c r="I306" s="84"/>
      <x:c r="J306" s="84" t="s">
        <x:v>19</x:v>
      </x:c>
      <x:c r="K306" s="131" t="s">
        <x:v>20</x:v>
      </x:c>
      <x:c r="L306" s="84" t="s">
        <x:v>507</x:v>
      </x:c>
      <x:c r="M306" s="85"/>
    </x:row>
    <x:row r="307" ht="36" customHeight="1">
      <x:c r="A307" s="83" t="n">
        <x:v>306</x:v>
      </x:c>
      <x:c r="B307" s="101">
        <x:v>47027.0</x:v>
      </x:c>
      <x:c r="C307" s="84" t="s">
        <x:v>120</x:v>
      </x:c>
      <x:c r="D307" s="84">
        <x:v>2028.0</x:v>
      </x:c>
      <x:c r="E307" s="84" t="s">
        <x:v>111</x:v>
      </x:c>
      <x:c r="F307" s="84" t="s">
        <x:v>504</x:v>
      </x:c>
      <x:c r="G307" s="84" t="s">
        <x:v>516</x:v>
      </x:c>
      <x:c r="H307" s="84" t="s">
        <x:v>506</x:v>
      </x:c>
      <x:c r="I307" s="84"/>
      <x:c r="J307" s="84" t="s">
        <x:v>19</x:v>
      </x:c>
      <x:c r="K307" s="131" t="s">
        <x:v>20</x:v>
      </x:c>
      <x:c r="L307" s="84" t="s">
        <x:v>507</x:v>
      </x:c>
      <x:c r="M307" s="85"/>
    </x:row>
    <x:row r="308" ht="36" customHeight="1">
      <x:c r="A308" s="83" t="n">
        <x:v>307</x:v>
      </x:c>
      <x:c r="B308" s="101">
        <x:v>47027.0</x:v>
      </x:c>
      <x:c r="C308" s="84" t="s">
        <x:v>120</x:v>
      </x:c>
      <x:c r="D308" s="84">
        <x:v>2028.0</x:v>
      </x:c>
      <x:c r="E308" s="84" t="s">
        <x:v>111</x:v>
      </x:c>
      <x:c r="F308" s="84" t="s">
        <x:v>504</x:v>
      </x:c>
      <x:c r="G308" s="84" t="s">
        <x:v>517</x:v>
      </x:c>
      <x:c r="H308" s="84" t="s">
        <x:v>506</x:v>
      </x:c>
      <x:c r="I308" s="84"/>
      <x:c r="J308" s="84" t="s">
        <x:v>19</x:v>
      </x:c>
      <x:c r="K308" s="131" t="s">
        <x:v>20</x:v>
      </x:c>
      <x:c r="L308" s="84" t="s">
        <x:v>507</x:v>
      </x:c>
      <x:c r="M308" s="85"/>
    </x:row>
    <x:row r="309" ht="36" customHeight="1">
      <x:c r="A309" s="83" t="n">
        <x:v>308</x:v>
      </x:c>
      <x:c r="B309" s="101">
        <x:v>47027.0</x:v>
      </x:c>
      <x:c r="C309" s="84" t="s">
        <x:v>120</x:v>
      </x:c>
      <x:c r="D309" s="84">
        <x:v>2028.0</x:v>
      </x:c>
      <x:c r="E309" s="84" t="s">
        <x:v>111</x:v>
      </x:c>
      <x:c r="F309" s="84" t="s">
        <x:v>504</x:v>
      </x:c>
      <x:c r="G309" s="84" t="s">
        <x:v>518</x:v>
      </x:c>
      <x:c r="H309" s="84" t="s">
        <x:v>506</x:v>
      </x:c>
      <x:c r="I309" s="84"/>
      <x:c r="J309" s="84" t="s">
        <x:v>19</x:v>
      </x:c>
      <x:c r="K309" s="131" t="s">
        <x:v>20</x:v>
      </x:c>
      <x:c r="L309" s="84" t="s">
        <x:v>507</x:v>
      </x:c>
      <x:c r="M309" s="85"/>
    </x:row>
    <x:row r="310" ht="36" customHeight="1">
      <x:c r="A310" s="83" t="n">
        <x:v>309</x:v>
      </x:c>
      <x:c r="B310" s="101">
        <x:v>47058.0</x:v>
      </x:c>
      <x:c r="C310" s="84" t="s">
        <x:v>133</x:v>
      </x:c>
      <x:c r="D310" s="84">
        <x:v>2028.0</x:v>
      </x:c>
      <x:c r="E310" s="84" t="s">
        <x:v>91</x:v>
      </x:c>
      <x:c r="F310" s="84" t="s">
        <x:v>92</x:v>
      </x:c>
      <x:c r="G310" s="84" t="s">
        <x:v>519</x:v>
      </x:c>
      <x:c r="H310" s="84" t="s">
        <x:v>94</x:v>
      </x:c>
      <x:c r="I310" s="84"/>
      <x:c r="J310" s="84" t="s">
        <x:v>19</x:v>
      </x:c>
      <x:c r="K310" s="131" t="s">
        <x:v>20</x:v>
      </x:c>
      <x:c r="L310" s="84" t="s">
        <x:v>520</x:v>
      </x:c>
      <x:c r="M310" s="85"/>
    </x:row>
    <x:row r="311" ht="36" customHeight="1">
      <x:c r="A311" s="83" t="n">
        <x:v>310</x:v>
      </x:c>
      <x:c r="B311" s="101">
        <x:v>47058.0</x:v>
      </x:c>
      <x:c r="C311" s="84" t="s">
        <x:v>133</x:v>
      </x:c>
      <x:c r="D311" s="84">
        <x:v>2028.0</x:v>
      </x:c>
      <x:c r="E311" s="84" t="s">
        <x:v>521</x:v>
      </x:c>
      <x:c r="F311" s="84" t="s">
        <x:v>521</x:v>
      </x:c>
      <x:c r="G311" s="84" t="s">
        <x:v>522</x:v>
      </x:c>
      <x:c r="H311" s="84" t="s">
        <x:v>523</x:v>
      </x:c>
      <x:c r="I311" s="84"/>
      <x:c r="J311" s="84" t="s">
        <x:v>19</x:v>
      </x:c>
      <x:c r="K311" s="131" t="s">
        <x:v>20</x:v>
      </x:c>
      <x:c r="L311" s="84" t="s">
        <x:v>524</x:v>
      </x:c>
      <x:c r="M311" s="85"/>
    </x:row>
    <x:row r="312" ht="36" customHeight="1">
      <x:c r="A312" s="83" t="n">
        <x:v>311</x:v>
      </x:c>
      <x:c r="B312" s="101">
        <x:v>47058.0</x:v>
      </x:c>
      <x:c r="C312" s="84" t="s">
        <x:v>133</x:v>
      </x:c>
      <x:c r="D312" s="84">
        <x:v>2028.0</x:v>
      </x:c>
      <x:c r="E312" s="84" t="s">
        <x:v>521</x:v>
      </x:c>
      <x:c r="F312" s="84" t="s">
        <x:v>521</x:v>
      </x:c>
      <x:c r="G312" s="84" t="s">
        <x:v>525</x:v>
      </x:c>
      <x:c r="H312" s="84" t="s">
        <x:v>523</x:v>
      </x:c>
      <x:c r="I312" s="84"/>
      <x:c r="J312" s="84" t="s">
        <x:v>19</x:v>
      </x:c>
      <x:c r="K312" s="131" t="s">
        <x:v>20</x:v>
      </x:c>
      <x:c r="L312" s="84" t="s">
        <x:v>524</x:v>
      </x:c>
      <x:c r="M312" s="85"/>
    </x:row>
    <x:row r="313" ht="36" customHeight="1">
      <x:c r="A313" s="83" t="n">
        <x:v>312</x:v>
      </x:c>
      <x:c r="B313" s="101">
        <x:v>47058.0</x:v>
      </x:c>
      <x:c r="C313" s="84" t="s">
        <x:v>133</x:v>
      </x:c>
      <x:c r="D313" s="84">
        <x:v>2028.0</x:v>
      </x:c>
      <x:c r="E313" s="84" t="s">
        <x:v>521</x:v>
      </x:c>
      <x:c r="F313" s="84" t="s">
        <x:v>521</x:v>
      </x:c>
      <x:c r="G313" s="84" t="s">
        <x:v>526</x:v>
      </x:c>
      <x:c r="H313" s="84" t="s">
        <x:v>523</x:v>
      </x:c>
      <x:c r="I313" s="84"/>
      <x:c r="J313" s="84" t="s">
        <x:v>19</x:v>
      </x:c>
      <x:c r="K313" s="131" t="s">
        <x:v>20</x:v>
      </x:c>
      <x:c r="L313" s="84" t="s">
        <x:v>524</x:v>
      </x:c>
      <x:c r="M313" s="85"/>
    </x:row>
    <x:row r="314" ht="36" customHeight="1">
      <x:c r="A314" s="83" t="n">
        <x:v>313</x:v>
      </x:c>
      <x:c r="B314" s="101">
        <x:v>47058.0</x:v>
      </x:c>
      <x:c r="C314" s="84" t="s">
        <x:v>133</x:v>
      </x:c>
      <x:c r="D314" s="84">
        <x:v>2028.0</x:v>
      </x:c>
      <x:c r="E314" s="84" t="s">
        <x:v>521</x:v>
      </x:c>
      <x:c r="F314" s="84" t="s">
        <x:v>521</x:v>
      </x:c>
      <x:c r="G314" s="84" t="s">
        <x:v>527</x:v>
      </x:c>
      <x:c r="H314" s="84" t="s">
        <x:v>523</x:v>
      </x:c>
      <x:c r="I314" s="84"/>
      <x:c r="J314" s="84" t="s">
        <x:v>19</x:v>
      </x:c>
      <x:c r="K314" s="131" t="s">
        <x:v>20</x:v>
      </x:c>
      <x:c r="L314" s="84" t="s">
        <x:v>524</x:v>
      </x:c>
      <x:c r="M314" s="85"/>
    </x:row>
    <x:row r="315" ht="36" customHeight="1">
      <x:c r="A315" s="83" t="n">
        <x:v>314</x:v>
      </x:c>
      <x:c r="B315" s="101">
        <x:v>47058.0</x:v>
      </x:c>
      <x:c r="C315" s="84" t="s">
        <x:v>133</x:v>
      </x:c>
      <x:c r="D315" s="84">
        <x:v>2028.0</x:v>
      </x:c>
      <x:c r="E315" s="84" t="s">
        <x:v>48</x:v>
      </x:c>
      <x:c r="F315" s="84" t="s">
        <x:v>68</x:v>
      </x:c>
      <x:c r="G315" s="84" t="s">
        <x:v>528</x:v>
      </x:c>
      <x:c r="H315" s="84" t="s">
        <x:v>48</x:v>
      </x:c>
      <x:c r="I315" s="84"/>
      <x:c r="J315" s="84" t="s">
        <x:v>19</x:v>
      </x:c>
      <x:c r="K315" s="84" t="s">
        <x:v>27</x:v>
      </x:c>
      <x:c r="L315" s="84" t="s">
        <x:v>529</x:v>
      </x:c>
      <x:c r="M315" s="85"/>
    </x:row>
    <x:row r="316" ht="36" customHeight="1">
      <x:c r="A316" s="83" t="n">
        <x:v>315</x:v>
      </x:c>
      <x:c r="B316" s="101">
        <x:v>47058.0</x:v>
      </x:c>
      <x:c r="C316" s="84" t="s">
        <x:v>133</x:v>
      </x:c>
      <x:c r="D316" s="84">
        <x:v>2028.0</x:v>
      </x:c>
      <x:c r="E316" s="84" t="s">
        <x:v>463</x:v>
      </x:c>
      <x:c r="F316" s="84" t="s">
        <x:v>15</x:v>
      </x:c>
      <x:c r="G316" s="84" t="s">
        <x:v>530</x:v>
      </x:c>
      <x:c r="H316" s="84" t="s">
        <x:v>531</x:v>
      </x:c>
      <x:c r="I316" s="84"/>
      <x:c r="J316" s="84" t="s">
        <x:v>19</x:v>
      </x:c>
      <x:c r="K316" s="84" t="s">
        <x:v>27</x:v>
      </x:c>
      <x:c r="L316" s="84" t="s">
        <x:v>532</x:v>
      </x:c>
      <x:c r="M316" s="85"/>
    </x:row>
    <x:row r="317" ht="36" customHeight="1">
      <x:c r="A317" s="83" t="n">
        <x:v>316</x:v>
      </x:c>
      <x:c r="B317" s="101">
        <x:v>47058.0</x:v>
      </x:c>
      <x:c r="C317" s="84" t="s">
        <x:v>133</x:v>
      </x:c>
      <x:c r="D317" s="84">
        <x:v>2028.0</x:v>
      </x:c>
      <x:c r="E317" s="84" t="s">
        <x:v>463</x:v>
      </x:c>
      <x:c r="F317" s="84" t="s">
        <x:v>15</x:v>
      </x:c>
      <x:c r="G317" s="84" t="s">
        <x:v>533</x:v>
      </x:c>
      <x:c r="H317" s="84" t="s">
        <x:v>531</x:v>
      </x:c>
      <x:c r="I317" s="84"/>
      <x:c r="J317" s="84" t="s">
        <x:v>19</x:v>
      </x:c>
      <x:c r="K317" s="84" t="s">
        <x:v>27</x:v>
      </x:c>
      <x:c r="L317" s="84" t="s">
        <x:v>532</x:v>
      </x:c>
      <x:c r="M317" s="85"/>
    </x:row>
    <x:row r="318" ht="36" customHeight="1">
      <x:c r="A318" s="83" t="n">
        <x:v>317</x:v>
      </x:c>
      <x:c r="B318" s="101">
        <x:v>47058.0</x:v>
      </x:c>
      <x:c r="C318" s="84" t="s">
        <x:v>133</x:v>
      </x:c>
      <x:c r="D318" s="84">
        <x:v>2028.0</x:v>
      </x:c>
      <x:c r="E318" s="84" t="s">
        <x:v>463</x:v>
      </x:c>
      <x:c r="F318" s="84" t="s">
        <x:v>15</x:v>
      </x:c>
      <x:c r="G318" s="84" t="s">
        <x:v>534</x:v>
      </x:c>
      <x:c r="H318" s="84" t="s">
        <x:v>531</x:v>
      </x:c>
      <x:c r="I318" s="84"/>
      <x:c r="J318" s="84" t="s">
        <x:v>19</x:v>
      </x:c>
      <x:c r="K318" s="84" t="s">
        <x:v>27</x:v>
      </x:c>
      <x:c r="L318" s="84" t="s">
        <x:v>532</x:v>
      </x:c>
      <x:c r="M318" s="85"/>
    </x:row>
    <x:row r="319" ht="36" customHeight="1">
      <x:c r="A319" s="83" t="n">
        <x:v>318</x:v>
      </x:c>
      <x:c r="B319" s="101">
        <x:v>47058.0</x:v>
      </x:c>
      <x:c r="C319" s="84" t="s">
        <x:v>133</x:v>
      </x:c>
      <x:c r="D319" s="84">
        <x:v>2028.0</x:v>
      </x:c>
      <x:c r="E319" s="84" t="s">
        <x:v>463</x:v>
      </x:c>
      <x:c r="F319" s="84" t="s">
        <x:v>15</x:v>
      </x:c>
      <x:c r="G319" s="84" t="s">
        <x:v>535</x:v>
      </x:c>
      <x:c r="H319" s="84" t="s">
        <x:v>531</x:v>
      </x:c>
      <x:c r="I319" s="84"/>
      <x:c r="J319" s="84" t="s">
        <x:v>19</x:v>
      </x:c>
      <x:c r="K319" s="84" t="s">
        <x:v>27</x:v>
      </x:c>
      <x:c r="L319" s="84" t="s">
        <x:v>532</x:v>
      </x:c>
      <x:c r="M319" s="85"/>
    </x:row>
    <x:row r="320" ht="36" customHeight="1">
      <x:c r="A320" s="83" t="n">
        <x:v>319</x:v>
      </x:c>
      <x:c r="B320" s="101">
        <x:v>47058.0</x:v>
      </x:c>
      <x:c r="C320" s="84" t="s">
        <x:v>133</x:v>
      </x:c>
      <x:c r="D320" s="84">
        <x:v>2028.0</x:v>
      </x:c>
      <x:c r="E320" s="84" t="s">
        <x:v>463</x:v>
      </x:c>
      <x:c r="F320" s="84" t="s">
        <x:v>15</x:v>
      </x:c>
      <x:c r="G320" s="84" t="s">
        <x:v>536</x:v>
      </x:c>
      <x:c r="H320" s="84" t="s">
        <x:v>531</x:v>
      </x:c>
      <x:c r="I320" s="84"/>
      <x:c r="J320" s="84" t="s">
        <x:v>19</x:v>
      </x:c>
      <x:c r="K320" s="84" t="s">
        <x:v>27</x:v>
      </x:c>
      <x:c r="L320" s="84" t="s">
        <x:v>532</x:v>
      </x:c>
      <x:c r="M320" s="85"/>
    </x:row>
    <x:row r="321" ht="36" customHeight="1">
      <x:c r="A321" s="83" t="n">
        <x:v>320</x:v>
      </x:c>
      <x:c r="B321" s="101">
        <x:v>47058.0</x:v>
      </x:c>
      <x:c r="C321" s="84" t="s">
        <x:v>133</x:v>
      </x:c>
      <x:c r="D321" s="84">
        <x:v>2028.0</x:v>
      </x:c>
      <x:c r="E321" s="84" t="s">
        <x:v>463</x:v>
      </x:c>
      <x:c r="F321" s="84" t="s">
        <x:v>15</x:v>
      </x:c>
      <x:c r="G321" s="84" t="s">
        <x:v>537</x:v>
      </x:c>
      <x:c r="H321" s="84" t="s">
        <x:v>531</x:v>
      </x:c>
      <x:c r="I321" s="84"/>
      <x:c r="J321" s="84" t="s">
        <x:v>19</x:v>
      </x:c>
      <x:c r="K321" s="84" t="s">
        <x:v>27</x:v>
      </x:c>
      <x:c r="L321" s="84" t="s">
        <x:v>532</x:v>
      </x:c>
      <x:c r="M321" s="85"/>
    </x:row>
    <x:row r="322" ht="36" customHeight="1">
      <x:c r="A322" s="83" t="n">
        <x:v>321</x:v>
      </x:c>
      <x:c r="B322" s="101">
        <x:v>47088.0</x:v>
      </x:c>
      <x:c r="C322" s="84" t="s">
        <x:v>156</x:v>
      </x:c>
      <x:c r="D322" s="84">
        <x:v>2028.0</x:v>
      </x:c>
      <x:c r="E322" s="84" t="s">
        <x:v>521</x:v>
      </x:c>
      <x:c r="F322" s="84" t="s">
        <x:v>521</x:v>
      </x:c>
      <x:c r="G322" s="84" t="s">
        <x:v>538</x:v>
      </x:c>
      <x:c r="H322" s="84" t="s">
        <x:v>539</x:v>
      </x:c>
      <x:c r="I322" s="84"/>
      <x:c r="J322" s="84" t="s">
        <x:v>19</x:v>
      </x:c>
      <x:c r="K322" s="131" t="s">
        <x:v>20</x:v>
      </x:c>
      <x:c r="L322" s="84" t="s">
        <x:v>532</x:v>
      </x:c>
      <x:c r="M322" s="85"/>
    </x:row>
    <x:row r="323" ht="36" customHeight="1">
      <x:c r="A323" s="83" t="n">
        <x:v>322</x:v>
      </x:c>
      <x:c r="B323" s="101">
        <x:v>47088.0</x:v>
      </x:c>
      <x:c r="C323" s="84" t="s">
        <x:v>156</x:v>
      </x:c>
      <x:c r="D323" s="84">
        <x:v>2028.0</x:v>
      </x:c>
      <x:c r="E323" s="84" t="s">
        <x:v>521</x:v>
      </x:c>
      <x:c r="F323" s="84" t="s">
        <x:v>521</x:v>
      </x:c>
      <x:c r="G323" s="84" t="s">
        <x:v>540</x:v>
      </x:c>
      <x:c r="H323" s="84" t="s">
        <x:v>539</x:v>
      </x:c>
      <x:c r="I323" s="84"/>
      <x:c r="J323" s="84" t="s">
        <x:v>19</x:v>
      </x:c>
      <x:c r="K323" s="131" t="s">
        <x:v>20</x:v>
      </x:c>
      <x:c r="L323" s="84" t="s">
        <x:v>532</x:v>
      </x:c>
      <x:c r="M323" s="85"/>
    </x:row>
    <x:row r="324" ht="36" customHeight="1">
      <x:c r="A324" s="83" t="n">
        <x:v>323</x:v>
      </x:c>
      <x:c r="B324" s="101">
        <x:v>47088.0</x:v>
      </x:c>
      <x:c r="C324" s="84" t="s">
        <x:v>156</x:v>
      </x:c>
      <x:c r="D324" s="84">
        <x:v>2028.0</x:v>
      </x:c>
      <x:c r="E324" s="84" t="s">
        <x:v>111</x:v>
      </x:c>
      <x:c r="F324" s="84" t="s">
        <x:v>504</x:v>
      </x:c>
      <x:c r="G324" s="84" t="s">
        <x:v>541</x:v>
      </x:c>
      <x:c r="H324" s="84" t="s">
        <x:v>136</x:v>
      </x:c>
      <x:c r="I324" s="84"/>
      <x:c r="J324" s="84" t="s">
        <x:v>19</x:v>
      </x:c>
      <x:c r="K324" s="84" t="s">
        <x:v>27</x:v>
      </x:c>
      <x:c r="L324" s="84" t="s">
        <x:v>542</x:v>
      </x:c>
      <x:c r="M324" s="85"/>
    </x:row>
    <x:row r="325" ht="36" customHeight="1">
      <x:c r="A325" s="83" t="n">
        <x:v>324</x:v>
      </x:c>
      <x:c r="B325" s="101">
        <x:v>47088.0</x:v>
      </x:c>
      <x:c r="C325" s="84" t="s">
        <x:v>156</x:v>
      </x:c>
      <x:c r="D325" s="84">
        <x:v>2028.0</x:v>
      </x:c>
      <x:c r="E325" s="84" t="s">
        <x:v>111</x:v>
      </x:c>
      <x:c r="F325" s="84" t="s">
        <x:v>504</x:v>
      </x:c>
      <x:c r="G325" s="84" t="s">
        <x:v>543</x:v>
      </x:c>
      <x:c r="H325" s="84" t="s">
        <x:v>136</x:v>
      </x:c>
      <x:c r="I325" s="84"/>
      <x:c r="J325" s="84" t="s">
        <x:v>19</x:v>
      </x:c>
      <x:c r="K325" s="84" t="s">
        <x:v>27</x:v>
      </x:c>
      <x:c r="L325" s="84" t="s">
        <x:v>542</x:v>
      </x:c>
      <x:c r="M325" s="85"/>
    </x:row>
    <x:row r="326" ht="36" customHeight="1">
      <x:c r="A326" s="83" t="n">
        <x:v>325</x:v>
      </x:c>
      <x:c r="B326" s="101">
        <x:v>47088.0</x:v>
      </x:c>
      <x:c r="C326" s="84" t="s">
        <x:v>156</x:v>
      </x:c>
      <x:c r="D326" s="84">
        <x:v>2028.0</x:v>
      </x:c>
      <x:c r="E326" s="84" t="s">
        <x:v>40</x:v>
      </x:c>
      <x:c r="F326" s="84" t="s">
        <x:v>40</x:v>
      </x:c>
      <x:c r="G326" s="84" t="s">
        <x:v>544</x:v>
      </x:c>
      <x:c r="H326" s="84" t="s">
        <x:v>17</x:v>
      </x:c>
      <x:c r="I326" s="84"/>
      <x:c r="J326" s="84" t="s">
        <x:v>19</x:v>
      </x:c>
      <x:c r="K326" s="84" t="s">
        <x:v>27</x:v>
      </x:c>
      <x:c r="L326" s="84" t="s">
        <x:v>504</x:v>
      </x:c>
      <x:c r="M326" s="85"/>
    </x:row>
    <x:row r="327" ht="36" customHeight="1">
      <x:c r="A327" s="83" t="n">
        <x:v>326</x:v>
      </x:c>
      <x:c r="B327" s="101">
        <x:v>47088.0</x:v>
      </x:c>
      <x:c r="C327" s="84" t="s">
        <x:v>156</x:v>
      </x:c>
      <x:c r="D327" s="84">
        <x:v>2028.0</x:v>
      </x:c>
      <x:c r="E327" s="84" t="s">
        <x:v>40</x:v>
      </x:c>
      <x:c r="F327" s="84" t="s">
        <x:v>40</x:v>
      </x:c>
      <x:c r="G327" s="84" t="s">
        <x:v>545</x:v>
      </x:c>
      <x:c r="H327" s="84" t="s">
        <x:v>17</x:v>
      </x:c>
      <x:c r="I327" s="84"/>
      <x:c r="J327" s="84" t="s">
        <x:v>19</x:v>
      </x:c>
      <x:c r="K327" s="84" t="s">
        <x:v>27</x:v>
      </x:c>
      <x:c r="L327" s="84" t="s">
        <x:v>504</x:v>
      </x:c>
      <x:c r="M327" s="85"/>
    </x:row>
    <x:row r="328" ht="36" customHeight="1">
      <x:c r="A328" s="83" t="n">
        <x:v>327</x:v>
      </x:c>
      <x:c r="B328" s="101">
        <x:v>47088.0</x:v>
      </x:c>
      <x:c r="C328" s="84" t="s">
        <x:v>156</x:v>
      </x:c>
      <x:c r="D328" s="84">
        <x:v>2028.0</x:v>
      </x:c>
      <x:c r="E328" s="84" t="s">
        <x:v>40</x:v>
      </x:c>
      <x:c r="F328" s="84" t="s">
        <x:v>40</x:v>
      </x:c>
      <x:c r="G328" s="84" t="s">
        <x:v>546</x:v>
      </x:c>
      <x:c r="H328" s="84" t="s">
        <x:v>17</x:v>
      </x:c>
      <x:c r="I328" s="84"/>
      <x:c r="J328" s="84" t="s">
        <x:v>19</x:v>
      </x:c>
      <x:c r="K328" s="84" t="s">
        <x:v>27</x:v>
      </x:c>
      <x:c r="L328" s="84" t="s">
        <x:v>504</x:v>
      </x:c>
      <x:c r="M328" s="85"/>
    </x:row>
    <x:row r="329" ht="36" customHeight="1">
      <x:c r="A329" s="83" t="n">
        <x:v>328</x:v>
      </x:c>
      <x:c r="B329" s="101">
        <x:v>47088.0</x:v>
      </x:c>
      <x:c r="C329" s="84" t="s">
        <x:v>156</x:v>
      </x:c>
      <x:c r="D329" s="84">
        <x:v>2028.0</x:v>
      </x:c>
      <x:c r="E329" s="84" t="s">
        <x:v>40</x:v>
      </x:c>
      <x:c r="F329" s="84" t="s">
        <x:v>40</x:v>
      </x:c>
      <x:c r="G329" s="84" t="s">
        <x:v>547</x:v>
      </x:c>
      <x:c r="H329" s="84" t="s">
        <x:v>17</x:v>
      </x:c>
      <x:c r="I329" s="84"/>
      <x:c r="J329" s="84" t="s">
        <x:v>19</x:v>
      </x:c>
      <x:c r="K329" s="84" t="s">
        <x:v>27</x:v>
      </x:c>
      <x:c r="L329" s="84" t="s">
        <x:v>504</x:v>
      </x:c>
      <x:c r="M329" s="85"/>
    </x:row>
    <x:row r="330" ht="36" customHeight="1">
      <x:c r="A330" s="83" t="n">
        <x:v>329</x:v>
      </x:c>
      <x:c r="B330" s="101">
        <x:v>47088.0</x:v>
      </x:c>
      <x:c r="C330" s="84" t="s">
        <x:v>156</x:v>
      </x:c>
      <x:c r="D330" s="84">
        <x:v>2028.0</x:v>
      </x:c>
      <x:c r="E330" s="84" t="s">
        <x:v>40</x:v>
      </x:c>
      <x:c r="F330" s="84" t="s">
        <x:v>40</x:v>
      </x:c>
      <x:c r="G330" s="84" t="s">
        <x:v>548</x:v>
      </x:c>
      <x:c r="H330" s="84" t="s">
        <x:v>17</x:v>
      </x:c>
      <x:c r="I330" s="84"/>
      <x:c r="J330" s="84" t="s">
        <x:v>19</x:v>
      </x:c>
      <x:c r="K330" s="84" t="s">
        <x:v>27</x:v>
      </x:c>
      <x:c r="L330" s="84" t="s">
        <x:v>504</x:v>
      </x:c>
      <x:c r="M330" s="85"/>
    </x:row>
    <x:row r="331" ht="36" customHeight="1">
      <x:c r="A331" s="83" t="n">
        <x:v>330</x:v>
      </x:c>
      <x:c r="B331" s="101">
        <x:v>47088.0</x:v>
      </x:c>
      <x:c r="C331" s="84" t="s">
        <x:v>156</x:v>
      </x:c>
      <x:c r="D331" s="84">
        <x:v>2028.0</x:v>
      </x:c>
      <x:c r="E331" s="84" t="s">
        <x:v>40</x:v>
      </x:c>
      <x:c r="F331" s="84" t="s">
        <x:v>40</x:v>
      </x:c>
      <x:c r="G331" s="84" t="s">
        <x:v>549</x:v>
      </x:c>
      <x:c r="H331" s="84" t="s">
        <x:v>17</x:v>
      </x:c>
      <x:c r="I331" s="84"/>
      <x:c r="J331" s="84" t="s">
        <x:v>19</x:v>
      </x:c>
      <x:c r="K331" s="84" t="s">
        <x:v>27</x:v>
      </x:c>
      <x:c r="L331" s="84" t="s">
        <x:v>504</x:v>
      </x:c>
      <x:c r="M331" s="85"/>
    </x:row>
    <x:row r="332" ht="36" customHeight="1">
      <x:c r="A332" s="83" t="n">
        <x:v>331</x:v>
      </x:c>
      <x:c r="B332" s="101">
        <x:v>47088.0</x:v>
      </x:c>
      <x:c r="C332" s="84" t="s">
        <x:v>156</x:v>
      </x:c>
      <x:c r="D332" s="84">
        <x:v>2028.0</x:v>
      </x:c>
      <x:c r="E332" s="84" t="s">
        <x:v>40</x:v>
      </x:c>
      <x:c r="F332" s="84" t="s">
        <x:v>40</x:v>
      </x:c>
      <x:c r="G332" s="84" t="s">
        <x:v>550</x:v>
      </x:c>
      <x:c r="H332" s="84" t="s">
        <x:v>17</x:v>
      </x:c>
      <x:c r="I332" s="84"/>
      <x:c r="J332" s="84" t="s">
        <x:v>19</x:v>
      </x:c>
      <x:c r="K332" s="84" t="s">
        <x:v>27</x:v>
      </x:c>
      <x:c r="L332" s="84" t="s">
        <x:v>504</x:v>
      </x:c>
      <x:c r="M332" s="85"/>
    </x:row>
    <x:row r="333" ht="36" customHeight="1">
      <x:c r="A333" s="83" t="n">
        <x:v>332</x:v>
      </x:c>
      <x:c r="B333" s="101">
        <x:v>47088.0</x:v>
      </x:c>
      <x:c r="C333" s="84" t="s">
        <x:v>156</x:v>
      </x:c>
      <x:c r="D333" s="84">
        <x:v>2028.0</x:v>
      </x:c>
      <x:c r="E333" s="84" t="s">
        <x:v>40</x:v>
      </x:c>
      <x:c r="F333" s="84" t="s">
        <x:v>40</x:v>
      </x:c>
      <x:c r="G333" s="84" t="s">
        <x:v>551</x:v>
      </x:c>
      <x:c r="H333" s="84" t="s">
        <x:v>17</x:v>
      </x:c>
      <x:c r="I333" s="84"/>
      <x:c r="J333" s="84" t="s">
        <x:v>19</x:v>
      </x:c>
      <x:c r="K333" s="84" t="s">
        <x:v>27</x:v>
      </x:c>
      <x:c r="L333" s="84" t="s">
        <x:v>504</x:v>
      </x:c>
      <x:c r="M333" s="85"/>
    </x:row>
    <x:row r="334" ht="36" customHeight="1">
      <x:c r="A334" s="83" t="n">
        <x:v>333</x:v>
      </x:c>
      <x:c r="B334" s="101">
        <x:v>47088.0</x:v>
      </x:c>
      <x:c r="C334" s="84" t="s">
        <x:v>156</x:v>
      </x:c>
      <x:c r="D334" s="84">
        <x:v>2028.0</x:v>
      </x:c>
      <x:c r="E334" s="84" t="s">
        <x:v>552</x:v>
      </x:c>
      <x:c r="F334" s="84" t="s">
        <x:v>552</x:v>
      </x:c>
      <x:c r="G334" s="84" t="s">
        <x:v>553</x:v>
      </x:c>
      <x:c r="H334" s="84" t="s">
        <x:v>136</x:v>
      </x:c>
      <x:c r="I334" s="84"/>
      <x:c r="J334" s="84" t="s">
        <x:v>19</x:v>
      </x:c>
      <x:c r="K334" s="84" t="s">
        <x:v>76</x:v>
      </x:c>
      <x:c r="L334" s="84" t="s">
        <x:v>521</x:v>
      </x:c>
      <x:c r="M334" s="85"/>
    </x:row>
    <x:row r="335" ht="36" customHeight="1">
      <x:c r="A335" s="83" t="n">
        <x:v>334</x:v>
      </x:c>
      <x:c r="B335" s="101">
        <x:v>47088.0</x:v>
      </x:c>
      <x:c r="C335" s="84" t="s">
        <x:v>156</x:v>
      </x:c>
      <x:c r="D335" s="84">
        <x:v>2028.0</x:v>
      </x:c>
      <x:c r="E335" s="84" t="s">
        <x:v>552</x:v>
      </x:c>
      <x:c r="F335" s="84" t="s">
        <x:v>552</x:v>
      </x:c>
      <x:c r="G335" s="84" t="s">
        <x:v>554</x:v>
      </x:c>
      <x:c r="H335" s="84" t="s">
        <x:v>136</x:v>
      </x:c>
      <x:c r="I335" s="84"/>
      <x:c r="J335" s="84" t="s">
        <x:v>19</x:v>
      </x:c>
      <x:c r="K335" s="84" t="s">
        <x:v>76</x:v>
      </x:c>
      <x:c r="L335" s="84" t="s">
        <x:v>521</x:v>
      </x:c>
      <x:c r="M335" s="85"/>
    </x:row>
    <x:row r="336" ht="36" customHeight="1">
      <x:c r="A336" s="83" t="n">
        <x:v>335</x:v>
      </x:c>
      <x:c r="B336" s="101">
        <x:v>47088.0</x:v>
      </x:c>
      <x:c r="C336" s="84" t="s">
        <x:v>156</x:v>
      </x:c>
      <x:c r="D336" s="84">
        <x:v>2028.0</x:v>
      </x:c>
      <x:c r="E336" s="84" t="s">
        <x:v>552</x:v>
      </x:c>
      <x:c r="F336" s="84" t="s">
        <x:v>552</x:v>
      </x:c>
      <x:c r="G336" s="84" t="s">
        <x:v>555</x:v>
      </x:c>
      <x:c r="H336" s="84" t="s">
        <x:v>136</x:v>
      </x:c>
      <x:c r="I336" s="84"/>
      <x:c r="J336" s="84" t="s">
        <x:v>19</x:v>
      </x:c>
      <x:c r="K336" s="84" t="s">
        <x:v>76</x:v>
      </x:c>
      <x:c r="L336" s="84" t="s">
        <x:v>521</x:v>
      </x:c>
      <x:c r="M336" s="85"/>
    </x:row>
    <x:row r="337" ht="36" customHeight="1">
      <x:c r="A337" s="83" t="n">
        <x:v>336</x:v>
      </x:c>
      <x:c r="B337" s="101">
        <x:v>47119.0</x:v>
      </x:c>
      <x:c r="C337" s="84" t="s">
        <x:v>177</x:v>
      </x:c>
      <x:c r="D337" s="84">
        <x:v>2029.0</x:v>
      </x:c>
      <x:c r="E337" s="84" t="s">
        <x:v>552</x:v>
      </x:c>
      <x:c r="F337" s="84" t="s">
        <x:v>552</x:v>
      </x:c>
      <x:c r="G337" s="84" t="s">
        <x:v>556</x:v>
      </x:c>
      <x:c r="H337" s="84" t="s">
        <x:v>557</x:v>
      </x:c>
      <x:c r="I337" s="84"/>
      <x:c r="J337" s="84" t="s">
        <x:v>19</x:v>
      </x:c>
      <x:c r="K337" s="84" t="s">
        <x:v>27</x:v>
      </x:c>
      <x:c r="L337" s="84" t="s">
        <x:v>558</x:v>
      </x:c>
      <x:c r="M337" s="85"/>
    </x:row>
    <x:row r="338" ht="36" customHeight="1">
      <x:c r="A338" s="83" t="n">
        <x:v>337</x:v>
      </x:c>
      <x:c r="B338" s="101">
        <x:v>47119.0</x:v>
      </x:c>
      <x:c r="C338" s="84" t="s">
        <x:v>177</x:v>
      </x:c>
      <x:c r="D338" s="84">
        <x:v>2029.0</x:v>
      </x:c>
      <x:c r="E338" s="84" t="s">
        <x:v>552</x:v>
      </x:c>
      <x:c r="F338" s="84" t="s">
        <x:v>552</x:v>
      </x:c>
      <x:c r="G338" s="84" t="s">
        <x:v>559</x:v>
      </x:c>
      <x:c r="H338" s="84" t="s">
        <x:v>557</x:v>
      </x:c>
      <x:c r="I338" s="84"/>
      <x:c r="J338" s="84" t="s">
        <x:v>19</x:v>
      </x:c>
      <x:c r="K338" s="84" t="s">
        <x:v>27</x:v>
      </x:c>
      <x:c r="L338" s="84" t="s">
        <x:v>558</x:v>
      </x:c>
      <x:c r="M338" s="85"/>
    </x:row>
    <x:row r="339" ht="36" customHeight="1">
      <x:c r="A339" s="83" t="n">
        <x:v>338</x:v>
      </x:c>
      <x:c r="B339" s="101">
        <x:v>47119.0</x:v>
      </x:c>
      <x:c r="C339" s="84" t="s">
        <x:v>177</x:v>
      </x:c>
      <x:c r="D339" s="84">
        <x:v>2029.0</x:v>
      </x:c>
      <x:c r="E339" s="84" t="s">
        <x:v>552</x:v>
      </x:c>
      <x:c r="F339" s="84" t="s">
        <x:v>552</x:v>
      </x:c>
      <x:c r="G339" s="84" t="s">
        <x:v>560</x:v>
      </x:c>
      <x:c r="H339" s="84" t="s">
        <x:v>557</x:v>
      </x:c>
      <x:c r="I339" s="84"/>
      <x:c r="J339" s="84" t="s">
        <x:v>19</x:v>
      </x:c>
      <x:c r="K339" s="84" t="s">
        <x:v>27</x:v>
      </x:c>
      <x:c r="L339" s="84" t="s">
        <x:v>558</x:v>
      </x:c>
      <x:c r="M339" s="85"/>
    </x:row>
    <x:row r="340" ht="36" customHeight="1">
      <x:c r="A340" s="83" t="n">
        <x:v>339</x:v>
      </x:c>
      <x:c r="B340" s="101">
        <x:v>47119.0</x:v>
      </x:c>
      <x:c r="C340" s="84" t="s">
        <x:v>177</x:v>
      </x:c>
      <x:c r="D340" s="84">
        <x:v>2029.0</x:v>
      </x:c>
      <x:c r="E340" s="84" t="s">
        <x:v>463</x:v>
      </x:c>
      <x:c r="F340" s="84" t="s">
        <x:v>15</x:v>
      </x:c>
      <x:c r="G340" s="84" t="s">
        <x:v>561</x:v>
      </x:c>
      <x:c r="H340" s="84" t="s">
        <x:v>562</x:v>
      </x:c>
      <x:c r="I340" s="84"/>
      <x:c r="J340" s="84" t="s">
        <x:v>19</x:v>
      </x:c>
      <x:c r="K340" s="84" t="s">
        <x:v>27</x:v>
      </x:c>
      <x:c r="L340" s="84" t="s">
        <x:v>532</x:v>
      </x:c>
      <x:c r="M340" s="85"/>
    </x:row>
    <x:row r="341" ht="36" customHeight="1">
      <x:c r="A341" s="83" t="n">
        <x:v>340</x:v>
      </x:c>
      <x:c r="B341" s="101">
        <x:v>47119.0</x:v>
      </x:c>
      <x:c r="C341" s="84" t="s">
        <x:v>177</x:v>
      </x:c>
      <x:c r="D341" s="84">
        <x:v>2029.0</x:v>
      </x:c>
      <x:c r="E341" s="84" t="s">
        <x:v>463</x:v>
      </x:c>
      <x:c r="F341" s="84" t="s">
        <x:v>15</x:v>
      </x:c>
      <x:c r="G341" s="84" t="s">
        <x:v>563</x:v>
      </x:c>
      <x:c r="H341" s="84" t="s">
        <x:v>562</x:v>
      </x:c>
      <x:c r="I341" s="84"/>
      <x:c r="J341" s="84" t="s">
        <x:v>19</x:v>
      </x:c>
      <x:c r="K341" s="84" t="s">
        <x:v>27</x:v>
      </x:c>
      <x:c r="L341" s="84" t="s">
        <x:v>532</x:v>
      </x:c>
      <x:c r="M341" s="85"/>
    </x:row>
    <x:row r="342" ht="36" customHeight="1">
      <x:c r="A342" s="83" t="n">
        <x:v>341</x:v>
      </x:c>
      <x:c r="B342" s="101">
        <x:v>47119.0</x:v>
      </x:c>
      <x:c r="C342" s="84" t="s">
        <x:v>177</x:v>
      </x:c>
      <x:c r="D342" s="84">
        <x:v>2029.0</x:v>
      </x:c>
      <x:c r="E342" s="84" t="s">
        <x:v>40</x:v>
      </x:c>
      <x:c r="F342" s="84" t="s">
        <x:v>40</x:v>
      </x:c>
      <x:c r="G342" s="84" t="s">
        <x:v>564</x:v>
      </x:c>
      <x:c r="H342" s="84" t="s">
        <x:v>60</x:v>
      </x:c>
      <x:c r="I342" s="84"/>
      <x:c r="J342" s="84" t="s">
        <x:v>19</x:v>
      </x:c>
      <x:c r="K342" s="84" t="s">
        <x:v>27</x:v>
      </x:c>
      <x:c r="L342" s="84" t="s">
        <x:v>521</x:v>
      </x:c>
      <x:c r="M342" s="85"/>
    </x:row>
    <x:row r="343" ht="36" customHeight="1">
      <x:c r="A343" s="83" t="n">
        <x:v>342</x:v>
      </x:c>
      <x:c r="B343" s="101">
        <x:v>47119.0</x:v>
      </x:c>
      <x:c r="C343" s="84" t="s">
        <x:v>177</x:v>
      </x:c>
      <x:c r="D343" s="84">
        <x:v>2029.0</x:v>
      </x:c>
      <x:c r="E343" s="84" t="s">
        <x:v>40</x:v>
      </x:c>
      <x:c r="F343" s="84" t="s">
        <x:v>40</x:v>
      </x:c>
      <x:c r="G343" s="84" t="s">
        <x:v>565</x:v>
      </x:c>
      <x:c r="H343" s="84" t="s">
        <x:v>60</x:v>
      </x:c>
      <x:c r="I343" s="84"/>
      <x:c r="J343" s="84" t="s">
        <x:v>19</x:v>
      </x:c>
      <x:c r="K343" s="84" t="s">
        <x:v>27</x:v>
      </x:c>
      <x:c r="L343" s="84" t="s">
        <x:v>521</x:v>
      </x:c>
      <x:c r="M343" s="85"/>
    </x:row>
    <x:row r="344" ht="36" customHeight="1">
      <x:c r="A344" s="83" t="n">
        <x:v>343</x:v>
      </x:c>
      <x:c r="B344" s="101">
        <x:v>47119.0</x:v>
      </x:c>
      <x:c r="C344" s="84" t="s">
        <x:v>177</x:v>
      </x:c>
      <x:c r="D344" s="84">
        <x:v>2029.0</x:v>
      </x:c>
      <x:c r="E344" s="84" t="s">
        <x:v>40</x:v>
      </x:c>
      <x:c r="F344" s="84" t="s">
        <x:v>40</x:v>
      </x:c>
      <x:c r="G344" s="84" t="s">
        <x:v>566</x:v>
      </x:c>
      <x:c r="H344" s="84" t="s">
        <x:v>60</x:v>
      </x:c>
      <x:c r="I344" s="84"/>
      <x:c r="J344" s="84" t="s">
        <x:v>19</x:v>
      </x:c>
      <x:c r="K344" s="84" t="s">
        <x:v>27</x:v>
      </x:c>
      <x:c r="L344" s="84" t="s">
        <x:v>521</x:v>
      </x:c>
      <x:c r="M344" s="85"/>
    </x:row>
    <x:row r="345" ht="36" customHeight="1">
      <x:c r="A345" s="83" t="n">
        <x:v>344</x:v>
      </x:c>
      <x:c r="B345" s="101">
        <x:v>47150.0</x:v>
      </x:c>
      <x:c r="C345" s="84" t="s">
        <x:v>194</x:v>
      </x:c>
      <x:c r="D345" s="84">
        <x:v>2029.0</x:v>
      </x:c>
      <x:c r="E345" s="84" t="s">
        <x:v>552</x:v>
      </x:c>
      <x:c r="F345" s="84" t="s">
        <x:v>552</x:v>
      </x:c>
      <x:c r="G345" s="84" t="s">
        <x:v>567</x:v>
      </x:c>
      <x:c r="H345" s="84" t="s">
        <x:v>60</x:v>
      </x:c>
      <x:c r="I345" s="84"/>
      <x:c r="J345" s="84" t="s">
        <x:v>19</x:v>
      </x:c>
      <x:c r="K345" s="84" t="s">
        <x:v>76</x:v>
      </x:c>
      <x:c r="L345" s="84" t="s">
        <x:v>568</x:v>
      </x:c>
      <x:c r="M345" s="85"/>
    </x:row>
    <x:row r="346" ht="36" customHeight="1">
      <x:c r="A346" s="83" t="n">
        <x:v>345</x:v>
      </x:c>
      <x:c r="B346" s="101">
        <x:v>47150.0</x:v>
      </x:c>
      <x:c r="C346" s="84" t="s">
        <x:v>194</x:v>
      </x:c>
      <x:c r="D346" s="84">
        <x:v>2029.0</x:v>
      </x:c>
      <x:c r="E346" s="84" t="s">
        <x:v>552</x:v>
      </x:c>
      <x:c r="F346" s="84" t="s">
        <x:v>552</x:v>
      </x:c>
      <x:c r="G346" s="84" t="s">
        <x:v>569</x:v>
      </x:c>
      <x:c r="H346" s="84" t="s">
        <x:v>60</x:v>
      </x:c>
      <x:c r="I346" s="84"/>
      <x:c r="J346" s="84" t="s">
        <x:v>19</x:v>
      </x:c>
      <x:c r="K346" s="84" t="s">
        <x:v>76</x:v>
      </x:c>
      <x:c r="L346" s="84" t="s">
        <x:v>568</x:v>
      </x:c>
      <x:c r="M346" s="85"/>
    </x:row>
    <x:row r="347" ht="36" customHeight="1">
      <x:c r="A347" s="83" t="n">
        <x:v>346</x:v>
      </x:c>
      <x:c r="B347" s="101">
        <x:v>47150.0</x:v>
      </x:c>
      <x:c r="C347" s="84" t="s">
        <x:v>194</x:v>
      </x:c>
      <x:c r="D347" s="84">
        <x:v>2029.0</x:v>
      </x:c>
      <x:c r="E347" s="84" t="s">
        <x:v>552</x:v>
      </x:c>
      <x:c r="F347" s="84" t="s">
        <x:v>552</x:v>
      </x:c>
      <x:c r="G347" s="84" t="s">
        <x:v>570</x:v>
      </x:c>
      <x:c r="H347" s="84" t="s">
        <x:v>60</x:v>
      </x:c>
      <x:c r="I347" s="84"/>
      <x:c r="J347" s="84" t="s">
        <x:v>19</x:v>
      </x:c>
      <x:c r="K347" s="84" t="s">
        <x:v>76</x:v>
      </x:c>
      <x:c r="L347" s="84" t="s">
        <x:v>568</x:v>
      </x:c>
      <x:c r="M347" s="85"/>
    </x:row>
    <x:row r="348" ht="36" customHeight="1">
      <x:c r="A348" s="83" t="n">
        <x:v>347</x:v>
      </x:c>
      <x:c r="B348" s="101">
        <x:v>47150.0</x:v>
      </x:c>
      <x:c r="C348" s="84" t="s">
        <x:v>194</x:v>
      </x:c>
      <x:c r="D348" s="84">
        <x:v>2029.0</x:v>
      </x:c>
      <x:c r="E348" s="84" t="s">
        <x:v>40</x:v>
      </x:c>
      <x:c r="F348" s="84" t="s">
        <x:v>40</x:v>
      </x:c>
      <x:c r="G348" s="84" t="s">
        <x:v>571</x:v>
      </x:c>
      <x:c r="H348" s="84" t="s">
        <x:v>17</x:v>
      </x:c>
      <x:c r="I348" s="84"/>
      <x:c r="J348" s="84" t="s">
        <x:v>19</x:v>
      </x:c>
      <x:c r="K348" s="84" t="s">
        <x:v>76</x:v>
      </x:c>
      <x:c r="L348" s="84" t="s">
        <x:v>572</x:v>
      </x:c>
      <x:c r="M348" s="85"/>
    </x:row>
    <x:row r="349" ht="36" customHeight="1">
      <x:c r="A349" s="83" t="n">
        <x:v>348</x:v>
      </x:c>
      <x:c r="B349" s="101">
        <x:v>47150.0</x:v>
      </x:c>
      <x:c r="C349" s="84" t="s">
        <x:v>194</x:v>
      </x:c>
      <x:c r="D349" s="84">
        <x:v>2029.0</x:v>
      </x:c>
      <x:c r="E349" s="84" t="s">
        <x:v>40</x:v>
      </x:c>
      <x:c r="F349" s="84" t="s">
        <x:v>40</x:v>
      </x:c>
      <x:c r="G349" s="84" t="s">
        <x:v>573</x:v>
      </x:c>
      <x:c r="H349" s="84" t="s">
        <x:v>17</x:v>
      </x:c>
      <x:c r="I349" s="84"/>
      <x:c r="J349" s="84" t="s">
        <x:v>19</x:v>
      </x:c>
      <x:c r="K349" s="84" t="s">
        <x:v>76</x:v>
      </x:c>
      <x:c r="L349" s="84" t="s">
        <x:v>572</x:v>
      </x:c>
      <x:c r="M349" s="85"/>
    </x:row>
    <x:row r="350" ht="36" customHeight="1">
      <x:c r="A350" s="83" t="n">
        <x:v>349</x:v>
      </x:c>
      <x:c r="B350" s="101">
        <x:v>47150.0</x:v>
      </x:c>
      <x:c r="C350" s="84" t="s">
        <x:v>194</x:v>
      </x:c>
      <x:c r="D350" s="84">
        <x:v>2029.0</x:v>
      </x:c>
      <x:c r="E350" s="84" t="s">
        <x:v>40</x:v>
      </x:c>
      <x:c r="F350" s="84" t="s">
        <x:v>40</x:v>
      </x:c>
      <x:c r="G350" s="84" t="s">
        <x:v>574</x:v>
      </x:c>
      <x:c r="H350" s="84" t="s">
        <x:v>17</x:v>
      </x:c>
      <x:c r="I350" s="84"/>
      <x:c r="J350" s="84" t="s">
        <x:v>19</x:v>
      </x:c>
      <x:c r="K350" s="84" t="s">
        <x:v>76</x:v>
      </x:c>
      <x:c r="L350" s="84" t="s">
        <x:v>572</x:v>
      </x:c>
      <x:c r="M350" s="85"/>
    </x:row>
    <x:row r="351" ht="36" customHeight="1">
      <x:c r="A351" s="83" t="n">
        <x:v>350</x:v>
      </x:c>
      <x:c r="B351" s="101">
        <x:v>47150.0</x:v>
      </x:c>
      <x:c r="C351" s="84" t="s">
        <x:v>194</x:v>
      </x:c>
      <x:c r="D351" s="84">
        <x:v>2029.0</x:v>
      </x:c>
      <x:c r="E351" s="84" t="s">
        <x:v>40</x:v>
      </x:c>
      <x:c r="F351" s="84" t="s">
        <x:v>40</x:v>
      </x:c>
      <x:c r="G351" s="84" t="s">
        <x:v>575</x:v>
      </x:c>
      <x:c r="H351" s="84" t="s">
        <x:v>17</x:v>
      </x:c>
      <x:c r="I351" s="84"/>
      <x:c r="J351" s="84" t="s">
        <x:v>19</x:v>
      </x:c>
      <x:c r="K351" s="84" t="s">
        <x:v>76</x:v>
      </x:c>
      <x:c r="L351" s="84" t="s">
        <x:v>572</x:v>
      </x:c>
      <x:c r="M351" s="85"/>
    </x:row>
    <x:row r="352" ht="36" customHeight="1">
      <x:c r="A352" s="83" t="n">
        <x:v>351</x:v>
      </x:c>
      <x:c r="B352" s="101">
        <x:v>47150.0</x:v>
      </x:c>
      <x:c r="C352" s="84" t="s">
        <x:v>194</x:v>
      </x:c>
      <x:c r="D352" s="84">
        <x:v>2029.0</x:v>
      </x:c>
      <x:c r="E352" s="84" t="s">
        <x:v>40</x:v>
      </x:c>
      <x:c r="F352" s="84" t="s">
        <x:v>40</x:v>
      </x:c>
      <x:c r="G352" s="84" t="s">
        <x:v>576</x:v>
      </x:c>
      <x:c r="H352" s="84" t="s">
        <x:v>17</x:v>
      </x:c>
      <x:c r="I352" s="84"/>
      <x:c r="J352" s="84" t="s">
        <x:v>19</x:v>
      </x:c>
      <x:c r="K352" s="84" t="s">
        <x:v>76</x:v>
      </x:c>
      <x:c r="L352" s="84" t="s">
        <x:v>572</x:v>
      </x:c>
      <x:c r="M352" s="85"/>
    </x:row>
    <x:row r="353" ht="36" customHeight="1">
      <x:c r="A353" s="83" t="n">
        <x:v>352</x:v>
      </x:c>
      <x:c r="B353" s="101">
        <x:v>47150.0</x:v>
      </x:c>
      <x:c r="C353" s="84" t="s">
        <x:v>194</x:v>
      </x:c>
      <x:c r="D353" s="84">
        <x:v>2029.0</x:v>
      </x:c>
      <x:c r="E353" s="84" t="s">
        <x:v>40</x:v>
      </x:c>
      <x:c r="F353" s="84" t="s">
        <x:v>40</x:v>
      </x:c>
      <x:c r="G353" s="84" t="s">
        <x:v>577</x:v>
      </x:c>
      <x:c r="H353" s="84" t="s">
        <x:v>17</x:v>
      </x:c>
      <x:c r="I353" s="84"/>
      <x:c r="J353" s="84" t="s">
        <x:v>19</x:v>
      </x:c>
      <x:c r="K353" s="84" t="s">
        <x:v>76</x:v>
      </x:c>
      <x:c r="L353" s="84" t="s">
        <x:v>572</x:v>
      </x:c>
      <x:c r="M353" s="85"/>
    </x:row>
    <x:row r="354" ht="36" customHeight="1">
      <x:c r="A354" s="86" t="n">
        <x:v>353</x:v>
      </x:c>
      <x:c r="B354" s="102">
        <x:v>47150.0</x:v>
      </x:c>
      <x:c r="C354" s="87" t="s">
        <x:v>194</x:v>
      </x:c>
      <x:c r="D354" s="87">
        <x:v>2029.0</x:v>
      </x:c>
      <x:c r="E354" s="87" t="s">
        <x:v>40</x:v>
      </x:c>
      <x:c r="F354" s="87" t="s">
        <x:v>40</x:v>
      </x:c>
      <x:c r="G354" s="87" t="s">
        <x:v>578</x:v>
      </x:c>
      <x:c r="H354" s="87" t="s">
        <x:v>17</x:v>
      </x:c>
      <x:c r="I354" s="87"/>
      <x:c r="J354" s="87" t="s">
        <x:v>19</x:v>
      </x:c>
      <x:c r="K354" s="87" t="s">
        <x:v>76</x:v>
      </x:c>
      <x:c r="L354" s="87" t="s">
        <x:v>572</x:v>
      </x:c>
      <x:c r="M354" s="88"/>
    </x:row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</x:sheetData>
  <x:conditionalFormatting sqref="J2:J354">
    <x:cfRule type="containsText" dxfId="6" priority="1" operator="containsText" text="Completado"/>
    <x:cfRule type="containsText" dxfId="7" priority="2" operator="containsText" text="En curso"/>
    <x:cfRule type="containsText" dxfId="8" priority="3" operator="containsText" text="Pendiente"/>
    <x:cfRule type="containsText" dxfId="9" priority="4" operator="containsText" text="Bloqueado"/>
  </x:conditionalFormatting>
  <x:conditionalFormatting sqref="K2:K354">
    <x:cfRule type="containsText" dxfId="10" priority="5" operator="containsText" text="Crítica"/>
    <x:cfRule type="containsText" dxfId="11" priority="6" operator="containsText" text="Alta"/>
  </x:conditionalFormatting>
  <x:dataValidations count="6">
    <x:dataValidation type="list" allowBlank="1" showDropDown="1" showErrorMessage="1" sqref="C2:C354">
      <x:formula1>"Mayo,Junio,Julio,Agosto,Septiembre,Octubre,Noviembre,Diciembre,Enero,Febrero,Marzo,Abril"</x:formula1>
    </x:dataValidation>
    <x:dataValidation type="list" allowBlank="1" showDropDown="1" showErrorMessage="1" sqref="E2:E354">
      <x:formula1>"Compra / Escritura,Preobra,Proyecto,Finanzas,Comercial,Tramitación,Obra,Administración,Legal / Entrega,Entrega,Postventa"</x:formula1>
    </x:dataValidation>
    <x:dataValidation type="custom" allowBlank="1" showDropDown="1" sqref="B2:B354">
      <x:formula1>OR(NOT(ISERROR(DATEVALUE(B2))), AND(ISNUMBER(B2), LEFT(CELL("format", B2))="D"))</x:formula1>
    </x:dataValidation>
    <x:dataValidation type="list" allowBlank="1" showDropDown="0" showErrorMessage="1" sqref="K2:K354">
      <x:formula1>"Crítica,Alta,Media,Baja"</x:formula1>
    </x:dataValidation>
    <x:dataValidation type="custom" allowBlank="1" showDropDown="1" sqref="A2:A354 D2:D354">
      <x:formula1>AND(ISNUMBER(A2),(NOT(OR(NOT(ISERROR(DATEVALUE(A2))), AND(ISNUMBER(A2), LEFT(CELL("format", A2))="D")))))</x:formula1>
    </x:dataValidation>
    <x:dataValidation type="list" allowBlank="1" showDropDown="0" showErrorMessage="1" sqref="J2:J354">
      <x:formula1>"Pendiente,En curso,Completado,Demorado,Bloqueado,No aplica"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d6572b7761054931"/>
    <x:tablePart xmlns:r="http://schemas.openxmlformats.org/officeDocument/2006/relationships" r:id="R4c4c7228954d46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0" hidden="0" customWidth="1"/>
    <x:col min="5" max="5" width="18" hidden="0" customWidth="1"/>
    <x:col min="6" max="6" width="18" hidden="0" customWidth="1"/>
    <x:col min="7" max="7" width="48" hidden="0" customWidth="1"/>
    <x:col min="8" max="8" width="20" hidden="0" customWidth="1"/>
    <x:col min="9" max="9" width="22" hidden="0" customWidth="1"/>
    <x:col min="10" max="10" width="14" hidden="0" customWidth="1"/>
    <x:col min="11" max="11" width="12" hidden="0" customWidth="1"/>
    <x:col min="12" max="12" width="28" hidden="0" customWidth="1"/>
    <x:col min="13" max="13" width="36" hidden="0" customWidth="1"/>
  </x:cols>
  <x:sheetData>
    <x:row r="1" ht="24" customHeight="1">
      <x:c r="A1" s="97" t="str">
        <x:v>ID</x:v>
      </x:c>
      <x:c r="B1" s="98" t="str">
        <x:v>Fecha base</x:v>
      </x:c>
      <x:c r="C1" s="98" t="str">
        <x:v>Mes</x:v>
      </x:c>
      <x:c r="D1" s="98" t="str">
        <x:v>Año</x:v>
      </x:c>
      <x:c r="E1" s="98" t="str">
        <x:v>Etapa</x:v>
      </x:c>
      <x:c r="F1" s="98" t="str">
        <x:v>Rubro</x:v>
      </x:c>
      <x:c r="G1" s="98" t="str">
        <x:v>Actividad</x:v>
      </x:c>
      <x:c r="H1" s="98" t="str">
        <x:v>Responsable</x:v>
      </x:c>
      <x:c r="I1" s="98" t="str">
        <x:v>Contacto</x:v>
      </x:c>
      <x:c r="J1" s="98" t="str">
        <x:v>Estado</x:v>
      </x:c>
      <x:c r="K1" s="98" t="str">
        <x:v>Prioridad</x:v>
      </x:c>
      <x:c r="L1" s="98" t="str">
        <x:v>Dependencia</x:v>
      </x:c>
      <x:c r="M1" s="98" t="str">
        <x:v>Comentarios</x:v>
      </x:c>
    </x:row>
    <x:row r="2" ht="36" customHeight="1">
      <x:c r="A2" s="83" t="n">
        <x:v>1</x:v>
      </x:c>
      <x:c r="B2" s="101" t="n">
        <x:v>46143</x:v>
      </x:c>
      <x:c r="C2" s="84" t="str">
        <x:v>Mayo</x:v>
      </x:c>
      <x:c r="D2" s="84" t="n">
        <x:v>2026</x:v>
      </x:c>
      <x:c r="E2" s="84" t="str">
        <x:v>Compra / Escritura</x:v>
      </x:c>
      <x:c r="F2" s="84" t="str">
        <x:v>Legal</x:v>
      </x:c>
      <x:c r="G2" s="84" t="str">
        <x:v>Pago parcial a la gestora, según acuerdo.</x:v>
      </x:c>
      <x:c r="H2" s="84" t="str">
        <x:v>Socios</x:v>
      </x:c>
      <x:c r="I2" s="84" t="str">
        <x:v>Gestora Municipal</x:v>
      </x:c>
      <x:c r="J2" s="84" t="str">
        <x:v>Pendiente</x:v>
      </x:c>
      <x:c r="K2" s="84" t="str">
        <x:v>Crítica</x:v>
      </x:c>
      <x:c r="L2" s="84" t="str">
        <x:v>—</x:v>
      </x:c>
      <x:c r="M2" s="85" t="str">
        <x:v>Primeros pasos para presentar planos en la muni</x:v>
      </x:c>
    </x:row>
    <x:row r="3" ht="36" customHeight="1">
      <x:c r="A3" s="83" t="n">
        <x:v>2</x:v>
      </x:c>
      <x:c r="B3" s="101" t="n">
        <x:v>46143</x:v>
      </x:c>
      <x:c r="C3" s="84" t="str">
        <x:v>Mayo</x:v>
      </x:c>
      <x:c r="D3" s="84" t="n">
        <x:v>2026</x:v>
      </x:c>
      <x:c r="E3" s="84" t="str">
        <x:v>Proyecto</x:v>
      </x:c>
      <x:c r="F3" s="84" t="str">
        <x:v>Técnico</x:v>
      </x:c>
      <x:c r="G3" s="84" t="str">
        <x:v>Contratar calculista</x:v>
      </x:c>
      <x:c r="H3" s="84" t="str">
        <x:v>Socios</x:v>
      </x:c>
      <x:c r="I3" s="84" t="str"/>
      <x:c r="J3" s="84" t="str">
        <x:v>En curso</x:v>
      </x:c>
      <x:c r="K3" s="84" t="str">
        <x:v>Alta</x:v>
      </x:c>
      <x:c r="L3" s="84" t="str">
        <x:v>—</x:v>
      </x:c>
      <x:c r="M3" s="85" t="str">
        <x:v>Cerrar proveedores técnicos tempranos</x:v>
      </x:c>
    </x:row>
    <x:row r="4" ht="36" customHeight="1">
      <x:c r="A4" s="83" t="n">
        <x:v>3</x:v>
      </x:c>
      <x:c r="B4" s="101" t="n">
        <x:v>46143</x:v>
      </x:c>
      <x:c r="C4" s="84" t="str">
        <x:v>Mayo</x:v>
      </x:c>
      <x:c r="D4" s="84" t="n">
        <x:v>2026</x:v>
      </x:c>
      <x:c r="E4" s="84" t="str">
        <x:v>Proyecto</x:v>
      </x:c>
      <x:c r="F4" s="84" t="str">
        <x:v>Técnico</x:v>
      </x:c>
      <x:c r="G4" s="84" t="str">
        <x:v>Contratar estudio de suelos</x:v>
      </x:c>
      <x:c r="H4" s="84" t="str">
        <x:v>Socios</x:v>
      </x:c>
      <x:c r="I4" s="84" t="str"/>
      <x:c r="J4" s="84" t="str">
        <x:v>En curso</x:v>
      </x:c>
      <x:c r="K4" s="84" t="str">
        <x:v>Alta</x:v>
      </x:c>
      <x:c r="L4" s="84" t="str">
        <x:v>—</x:v>
      </x:c>
      <x:c r="M4" s="85" t="str">
        <x:v>Cerrar proveedores técnicos tempranos</x:v>
      </x:c>
    </x:row>
    <x:row r="5" ht="36" customHeight="1">
      <x:c r="A5" s="83" t="n">
        <x:v>4</x:v>
      </x:c>
      <x:c r="B5" s="101" t="n">
        <x:v>46143</x:v>
      </x:c>
      <x:c r="C5" s="84" t="str">
        <x:v>Mayo</x:v>
      </x:c>
      <x:c r="D5" s="84" t="n">
        <x:v>2026</x:v>
      </x:c>
      <x:c r="E5" s="84" t="str">
        <x:v>Proyecto</x:v>
      </x:c>
      <x:c r="F5" s="84" t="str">
        <x:v>Técnico</x:v>
      </x:c>
      <x:c r="G5" s="84" t="str">
        <x:v>Contratar agrimensor</x:v>
      </x:c>
      <x:c r="H5" s="84" t="str">
        <x:v>Socios</x:v>
      </x:c>
      <x:c r="I5" s="84" t="str"/>
      <x:c r="J5" s="84" t="str">
        <x:v>En curso</x:v>
      </x:c>
      <x:c r="K5" s="84" t="str">
        <x:v>Alta</x:v>
      </x:c>
      <x:c r="L5" s="84" t="str">
        <x:v>—</x:v>
      </x:c>
      <x:c r="M5" s="85" t="str">
        <x:v>Cerrar proveedores técnicos tempranos</x:v>
      </x:c>
    </x:row>
    <x:row r="6" ht="36" customHeight="1">
      <x:c r="A6" s="83" t="n">
        <x:v>5</x:v>
      </x:c>
      <x:c r="B6" s="101" t="n">
        <x:v>46168</x:v>
      </x:c>
      <x:c r="C6" s="84" t="str">
        <x:v>Mayo</x:v>
      </x:c>
      <x:c r="D6" s="84" t="n">
        <x:v>2026</x:v>
      </x:c>
      <x:c r="E6" s="84" t="str">
        <x:v>Preobra</x:v>
      </x:c>
      <x:c r="F6" s="84" t="str">
        <x:v>Suelos</x:v>
      </x:c>
      <x:c r="G6" s="84" t="str">
        <x:v>Recibir informe de estudio de suelos y agrimensor.</x:v>
      </x:c>
      <x:c r="H6" s="84" t="str">
        <x:v>Socios</x:v>
      </x:c>
      <x:c r="I6" s="84" t="str">
        <x:v>Estudio de suelos. Agrimensor</x:v>
      </x:c>
      <x:c r="J6" s="84" t="str">
        <x:v>Pendiente</x:v>
      </x:c>
      <x:c r="K6" s="84" t="str">
        <x:v>Alta</x:v>
      </x:c>
      <x:c r="L6" s="84" t="str">
        <x:v>Proveedor seleccionado</x:v>
      </x:c>
      <x:c r="M6" s="85" t="str"/>
    </x:row>
    <x:row r="7" ht="36" customHeight="1">
      <x:c r="A7" s="83" t="n">
        <x:v>6</x:v>
      </x:c>
      <x:c r="B7" s="101" t="n">
        <x:v>46174</x:v>
      </x:c>
      <x:c r="C7" s="84" t="str">
        <x:v>Junio</x:v>
      </x:c>
      <x:c r="D7" s="84" t="n">
        <x:v>2026</x:v>
      </x:c>
      <x:c r="E7" s="84" t="str">
        <x:v>Proyecto</x:v>
      </x:c>
      <x:c r="F7" s="84" t="str">
        <x:v>Cálculo estructural</x:v>
      </x:c>
      <x:c r="G7" s="84" t="str">
        <x:v>Iniciar trabajo del calculista sobre hipótesis estructural preliminar. Revisar normativa aplicable. Confirmar factibilidad urbanistica.</x:v>
      </x:c>
      <x:c r="H7" s="84" t="str">
        <x:v>Socios</x:v>
      </x:c>
      <x:c r="I7" s="84" t="str"/>
      <x:c r="J7" s="84" t="str">
        <x:v>Pendiente</x:v>
      </x:c>
      <x:c r="K7" s="84" t="str">
        <x:v>Alta</x:v>
      </x:c>
      <x:c r="L7" s="84" t="str">
        <x:v>Anteproyecto avanzado</x:v>
      </x:c>
      <x:c r="M7" s="85" t="str"/>
    </x:row>
    <x:row r="8" ht="36" customHeight="1">
      <x:c r="A8" s="83" t="n">
        <x:v>7</x:v>
      </x:c>
      <x:c r="B8" s="101" t="n">
        <x:v>46174</x:v>
      </x:c>
      <x:c r="C8" s="84" t="str">
        <x:v>Junio</x:v>
      </x:c>
      <x:c r="D8" s="84" t="n">
        <x:v>2026</x:v>
      </x:c>
      <x:c r="E8" s="84" t="str">
        <x:v>Finanzas</x:v>
      </x:c>
      <x:c r="F8" s="84" t="str">
        <x:v>Finanzas</x:v>
      </x:c>
      <x:c r="G8" s="84" t="str">
        <x:v>Con el proyecto definido, armar presupuesto preliminar de obra por rubros. Preparar primer borrador de flujo de fondos</x:v>
      </x:c>
      <x:c r="H8" s="84" t="str">
        <x:v>Socios</x:v>
      </x:c>
      <x:c r="I8" s="84" t="str"/>
      <x:c r="J8" s="84" t="str">
        <x:v>Pendiente</x:v>
      </x:c>
      <x:c r="K8" s="84" t="str">
        <x:v>Alta</x:v>
      </x:c>
      <x:c r="L8" s="84" t="str">
        <x:v>Superficies preliminares</x:v>
      </x:c>
      <x:c r="M8" s="85" t="str"/>
    </x:row>
    <x:row r="9" ht="36" customHeight="1">
      <x:c r="A9" s="83" t="n">
        <x:v>8</x:v>
      </x:c>
      <x:c r="B9" s="101" t="n">
        <x:v>46199</x:v>
      </x:c>
      <x:c r="C9" s="84" t="str">
        <x:v>Junio</x:v>
      </x:c>
      <x:c r="D9" s="84" t="n">
        <x:v>2026</x:v>
      </x:c>
      <x:c r="E9" s="84" t="str">
        <x:v>Proyecto</x:v>
      </x:c>
      <x:c r="F9" s="84" t="str">
        <x:v>Arquitectura</x:v>
      </x:c>
      <x:c r="G9" s="84" t="str">
        <x:v>Definir arquitectura final teniendo estudios de agrimensor. Vendibles con mayor precision. Construibles con mayor precision. Comunes. Unidades. Cocheras.</x:v>
      </x:c>
      <x:c r="H9" s="84" t="str">
        <x:v>Socios</x:v>
      </x:c>
      <x:c r="I9" s="84" t="str">
        <x:v>Rodrigo</x:v>
      </x:c>
      <x:c r="J9" s="84" t="str">
        <x:v>En curso</x:v>
      </x:c>
      <x:c r="K9" s="84" t="str">
        <x:v>Alta</x:v>
      </x:c>
      <x:c r="L9" s="84" t="str">
        <x:v>—</x:v>
      </x:c>
      <x:c r="M9" s="85" t="str">
        <x:v>Base para proyecto y carpeta comercial</x:v>
      </x:c>
    </x:row>
    <x:row r="10" ht="36" customHeight="1">
      <x:c r="A10" s="83" t="n">
        <x:v>10</x:v>
      </x:c>
      <x:c r="B10" s="101" t="n">
        <x:v>46199</x:v>
      </x:c>
      <x:c r="C10" s="84" t="str">
        <x:v>Junio</x:v>
      </x:c>
      <x:c r="D10" s="84" t="n">
        <x:v>2026</x:v>
      </x:c>
      <x:c r="E10" s="84" t="str">
        <x:v>Proyecto</x:v>
      </x:c>
      <x:c r="F10" s="84" t="str">
        <x:v>Finanzas</x:v>
      </x:c>
      <x:c r="G10" s="84" t="str">
        <x:v>Armar primer modelo económico base. Cargar terreno, costo de obra, honorarios, imprevistos y precio de venta por m². Calcular rentabilidad esperada preliminar</x:v>
      </x:c>
      <x:c r="H10" s="84" t="str">
        <x:v>Socios</x:v>
      </x:c>
      <x:c r="I10" s="84" t="str"/>
      <x:c r="J10" s="84" t="str">
        <x:v>Pendiente</x:v>
      </x:c>
      <x:c r="K10" s="84" t="str">
        <x:v>Alta</x:v>
      </x:c>
      <x:c r="L10" s="84" t="str">
        <x:v>Definición preliminar de producto</x:v>
      </x:c>
      <x:c r="M10" s="85" t="str">
        <x:v>Modelo v0.1</x:v>
      </x:c>
    </x:row>
    <x:row r="11" ht="36" customHeight="1">
      <x:c r="A11" s="83" t="n">
        <x:v>11</x:v>
      </x:c>
      <x:c r="B11" s="101" t="n">
        <x:v>46199</x:v>
      </x:c>
      <x:c r="C11" s="84" t="str">
        <x:v>Junio</x:v>
      </x:c>
      <x:c r="D11" s="84" t="n">
        <x:v>2026</x:v>
      </x:c>
      <x:c r="E11" s="84" t="str">
        <x:v>Compra / Escritura</x:v>
      </x:c>
      <x:c r="F11" s="84" t="str">
        <x:v>Legal</x:v>
      </x:c>
      <x:c r="G11" s="84" t="str">
        <x:v>Coordinación con escribanía para escrituración y pago de saldo</x:v>
      </x:c>
      <x:c r="H11" s="84" t="str">
        <x:v>Socios</x:v>
      </x:c>
      <x:c r="I11" s="84" t="str">
        <x:v>Escribanía</x:v>
      </x:c>
      <x:c r="J11" s="84" t="str">
        <x:v>Pendiente</x:v>
      </x:c>
      <x:c r="K11" s="84" t="str">
        <x:v>Crítica</x:v>
      </x:c>
      <x:c r="L11" s="84" t="str">
        <x:v>—</x:v>
      </x:c>
      <x:c r="M11" s="85" t="str">
        <x:v>Bloque inicial para poder llegar a escritura</x:v>
      </x:c>
    </x:row>
    <x:row r="12" ht="36" customHeight="1">
      <x:c r="A12" s="83" t="n">
        <x:v>12</x:v>
      </x:c>
      <x:c r="B12" s="101" t="n">
        <x:v>46199</x:v>
      </x:c>
      <x:c r="C12" s="84" t="str">
        <x:v>Junio</x:v>
      </x:c>
      <x:c r="D12" s="84" t="n">
        <x:v>2026</x:v>
      </x:c>
      <x:c r="E12" s="84" t="str">
        <x:v>Administración</x:v>
      </x:c>
      <x:c r="F12" s="84" t="str">
        <x:v>Finanzas / Legal</x:v>
      </x:c>
      <x:c r="G12" s="84" t="str">
        <x:v>Organizar cuenta bancaria del proyecto</x:v>
      </x:c>
      <x:c r="H12" s="84" t="str">
        <x:v>Socios / Administración</x:v>
      </x:c>
      <x:c r="I12" s="84" t="str"/>
      <x:c r="J12" s="84" t="str">
        <x:v>Pendiente</x:v>
      </x:c>
      <x:c r="K12" s="84" t="str">
        <x:v>Alta</x:v>
      </x:c>
      <x:c r="L12" s="84" t="str">
        <x:v>Estructura del proyecto</x:v>
      </x:c>
      <x:c r="M12" s="85" t="str"/>
    </x:row>
    <x:row r="13" ht="36" customHeight="1">
      <x:c r="A13" s="83" t="n">
        <x:v>9</x:v>
      </x:c>
      <x:c r="B13" s="101" t="n">
        <x:v>46199</x:v>
      </x:c>
      <x:c r="C13" s="84" t="str">
        <x:v>Julio</x:v>
      </x:c>
      <x:c r="D13" s="84" t="n">
        <x:v>2026</x:v>
      </x:c>
      <x:c r="E13" s="84" t="str">
        <x:v>Comercial</x:v>
      </x:c>
      <x:c r="F13" s="84" t="str">
        <x:v>Folletería</x:v>
      </x:c>
      <x:c r="G13" s="84" t="str">
        <x:v>Pedir presupuestos de folletería</x:v>
      </x:c>
      <x:c r="H13" s="84" t="str">
        <x:v>Socios</x:v>
      </x:c>
      <x:c r="I13" s="84" t="str"/>
      <x:c r="J13" s="84" t="str"/>
      <x:c r="K13" s="84" t="str"/>
      <x:c r="L13" s="84" t="str"/>
      <x:c r="M13" s="85" t="str"/>
    </x:row>
    <x:row r="14" ht="36" customHeight="1">
      <x:c r="A14" s="83" t="n">
        <x:v>13</x:v>
      </x:c>
      <x:c r="B14" s="101" t="n">
        <x:v>46204</x:v>
      </x:c>
      <x:c r="C14" s="84" t="str">
        <x:v>Julio</x:v>
      </x:c>
      <x:c r="D14" s="84" t="n">
        <x:v>2026</x:v>
      </x:c>
      <x:c r="E14" s="84" t="str">
        <x:v>Compra / Escritura</x:v>
      </x:c>
      <x:c r="F14" s="84" t="str">
        <x:v>Legal</x:v>
      </x:c>
      <x:c r="G14" s="84" t="str">
        <x:v>Escritura del terreno si se cumple el plazo de 90 días. Toma de posesión. Pago del saldo. Obtención de documentación.</x:v>
      </x:c>
      <x:c r="H14" s="84" t="str">
        <x:v>Socios</x:v>
      </x:c>
      <x:c r="I14" s="84" t="str">
        <x:v>Escribanía</x:v>
      </x:c>
      <x:c r="J14" s="84" t="str">
        <x:v>Pendiente</x:v>
      </x:c>
      <x:c r="K14" s="84" t="str">
        <x:v>Crítica</x:v>
      </x:c>
      <x:c r="L14" s="84" t="str">
        <x:v>Documentación final aprobada</x:v>
      </x:c>
      <x:c r="M14" s="85" t="str">
        <x:v>Hito central del proyecto</x:v>
      </x:c>
    </x:row>
    <x:row r="15" ht="36" customHeight="1">
      <x:c r="A15" s="83" t="n">
        <x:v>14</x:v>
      </x:c>
      <x:c r="B15" s="101" t="n">
        <x:v>46204</x:v>
      </x:c>
      <x:c r="C15" s="84" t="str">
        <x:v>Julio</x:v>
      </x:c>
      <x:c r="D15" s="84" t="n">
        <x:v>2026</x:v>
      </x:c>
      <x:c r="E15" s="84" t="str">
        <x:v>Proyecto</x:v>
      </x:c>
      <x:c r="F15" s="84" t="str">
        <x:v>Arquitectura</x:v>
      </x:c>
      <x:c r="G15" s="84" t="str">
        <x:v>Avanzar planos municipales. Iniciar tramitación municipal si los planos están lo suficientemente cerrados</x:v>
      </x:c>
      <x:c r="H15" s="84" t="str">
        <x:v>Socios</x:v>
      </x:c>
      <x:c r="I15" s="84" t="str">
        <x:v>Gestora</x:v>
      </x:c>
      <x:c r="J15" s="84" t="str">
        <x:v>Pendiente</x:v>
      </x:c>
      <x:c r="K15" s="84" t="str">
        <x:v>Alta</x:v>
      </x:c>
      <x:c r="L15" s="84" t="str">
        <x:v>Suelos y agrimensura</x:v>
      </x:c>
      <x:c r="M15" s="85" t="str"/>
    </x:row>
    <x:row r="16" ht="36" customHeight="1">
      <x:c r="A16" s="83" t="n">
        <x:v>15</x:v>
      </x:c>
      <x:c r="B16" s="101" t="n">
        <x:v>46204</x:v>
      </x:c>
      <x:c r="C16" s="84" t="str">
        <x:v>Julio</x:v>
      </x:c>
      <x:c r="D16" s="84" t="n">
        <x:v>2026</x:v>
      </x:c>
      <x:c r="E16" s="84" t="str">
        <x:v>Comercial</x:v>
      </x:c>
      <x:c r="F16" s="84" t="str">
        <x:v>Marketing / Ventas</x:v>
      </x:c>
      <x:c r="G16" s="84" t="str">
        <x:v>Iniciar carpeta de ventas. Redactar descripción del proyecto. Definir tipologías comerciales. Preparar planos comerciales. Preparar memoria descriptiva preliminar.</x:v>
      </x:c>
      <x:c r="H16" s="84" t="str">
        <x:v>Socios / Marketing / Rodrigo</x:v>
      </x:c>
      <x:c r="I16" s="84" t="str"/>
      <x:c r="J16" s="84" t="str">
        <x:v>Pendiente</x:v>
      </x:c>
      <x:c r="K16" s="84" t="str">
        <x:v>Alta</x:v>
      </x:c>
      <x:c r="L16" s="84" t="str">
        <x:v>Proyecto avanzado</x:v>
      </x:c>
      <x:c r="M16" s="85" t="str"/>
    </x:row>
    <x:row r="17" ht="36" customHeight="1">
      <x:c r="A17" s="83" t="n">
        <x:v>16</x:v>
      </x:c>
      <x:c r="B17" s="101" t="n">
        <x:v>46204</x:v>
      </x:c>
      <x:c r="C17" s="84" t="str">
        <x:v>Julio</x:v>
      </x:c>
      <x:c r="D17" s="84" t="n">
        <x:v>2026</x:v>
      </x:c>
      <x:c r="E17" s="84" t="str">
        <x:v>Comercial</x:v>
      </x:c>
      <x:c r="F17" s="84" t="str">
        <x:v>Marketing / Ventas</x:v>
      </x:c>
      <x:c r="G17" s="84" t="str">
        <x:v>Seleccionar proveedor de renders</x:v>
      </x:c>
      <x:c r="H17" s="84" t="str">
        <x:v>Socios / Marketing / Rodrigo</x:v>
      </x:c>
      <x:c r="I17" s="84" t="str"/>
      <x:c r="J17" s="84" t="str">
        <x:v>Pendiente</x:v>
      </x:c>
      <x:c r="K17" s="84" t="str">
        <x:v>Alta</x:v>
      </x:c>
      <x:c r="L17" s="84" t="str">
        <x:v>Proyecto avanzado</x:v>
      </x:c>
      <x:c r="M17" s="85" t="str"/>
    </x:row>
    <x:row r="18" ht="36" customHeight="1">
      <x:c r="A18" s="83" t="n">
        <x:v>17</x:v>
      </x:c>
      <x:c r="B18" s="101" t="n">
        <x:v>46229</x:v>
      </x:c>
      <x:c r="C18" s="84" t="str">
        <x:v>Julio</x:v>
      </x:c>
      <x:c r="D18" s="84" t="n">
        <x:v>2026</x:v>
      </x:c>
      <x:c r="E18" s="84" t="str">
        <x:v>Comercial</x:v>
      </x:c>
      <x:c r="F18" s="84" t="str">
        <x:v>Marketing / Ventas</x:v>
      </x:c>
      <x:c r="G18" s="84" t="str">
        <x:v>Iniciar análisis comercial del producto. Definir precios por etapas. Definir perfil de comprador. Volver a relevar competencia.</x:v>
      </x:c>
      <x:c r="H18" s="84" t="str">
        <x:v>Socios</x:v>
      </x:c>
      <x:c r="I18" s="84" t="str"/>
      <x:c r="J18" s="84" t="str">
        <x:v>Pendiente</x:v>
      </x:c>
      <x:c r="K18" s="84" t="str">
        <x:v>Alta</x:v>
      </x:c>
      <x:c r="L18" s="84" t="str">
        <x:v>Definición preliminar de producto</x:v>
      </x:c>
      <x:c r="M18" s="85" t="str">
        <x:v>Sirve para orientar el mix y la preventa</x:v>
      </x:c>
    </x:row>
    <x:row r="19" ht="36" customHeight="1">
      <x:c r="A19" s="83" t="n">
        <x:v>18</x:v>
      </x:c>
      <x:c r="B19" s="101" t="n">
        <x:v>46229</x:v>
      </x:c>
      <x:c r="C19" s="84" t="str">
        <x:v>Julio</x:v>
      </x:c>
      <x:c r="D19" s="84" t="n">
        <x:v>2026</x:v>
      </x:c>
      <x:c r="E19" s="84" t="str">
        <x:v>Comercial</x:v>
      </x:c>
      <x:c r="F19" s="84" t="str">
        <x:v>Marketing / Ventas</x:v>
      </x:c>
      <x:c r="G19" s="84" t="str">
        <x:v>Iniciar estrategia de marca del proyecto. Definir nombre preliminar del edificio. Identidad. Tono comercial. Renders, folletos, landing page?</x:v>
      </x:c>
      <x:c r="H19" s="84" t="str">
        <x:v>Socios</x:v>
      </x:c>
      <x:c r="I19" s="84" t="str"/>
      <x:c r="J19" s="84" t="str">
        <x:v>Pendiente</x:v>
      </x:c>
      <x:c r="K19" s="84" t="str">
        <x:v>Media</x:v>
      </x:c>
      <x:c r="L19" s="84" t="str">
        <x:v>Análisis comercial inicial</x:v>
      </x:c>
      <x:c r="M19" s="85" t="str"/>
    </x:row>
    <x:row r="20" ht="36" customHeight="1">
      <x:c r="A20" s="86" t="n">
        <x:v>19</x:v>
      </x:c>
      <x:c r="B20" s="102" t="n">
        <x:v>46229</x:v>
      </x:c>
      <x:c r="C20" s="87" t="str">
        <x:v>Julio</x:v>
      </x:c>
      <x:c r="D20" s="87" t="n">
        <x:v>2026</x:v>
      </x:c>
      <x:c r="E20" s="87" t="str">
        <x:v>Proyecto</x:v>
      </x:c>
      <x:c r="F20" s="87" t="str">
        <x:v>Arquitectura</x:v>
      </x:c>
      <x:c r="G20" s="87" t="str">
        <x:v>Cerrar proyecto arquitectónico prácticamente definitivo</x:v>
      </x:c>
      <x:c r="H20" s="87" t="str">
        <x:v>Rodrigo / Socios</x:v>
      </x:c>
      <x:c r="I20" s="87" t="str"/>
      <x:c r="J20" s="87" t="str">
        <x:v>Pendiente</x:v>
      </x:c>
      <x:c r="K20" s="87" t="str">
        <x:v>Crítica</x:v>
      </x:c>
      <x:c r="L20" s="87" t="str">
        <x:v>Ajustes de julio</x:v>
      </x:c>
      <x:c r="M20" s="88" t="str"/>
    </x:row>
  </x:sheetData>
  <x:conditionalFormatting sqref="J2:J20">
    <x:cfRule type="containsText" dxfId="12" priority="1" operator="containsText" text="Completado"/>
    <x:cfRule type="containsText" dxfId="13" priority="2" operator="containsText" text="En curso"/>
    <x:cfRule type="containsText" dxfId="14" priority="3" operator="containsText" text="Pendiente"/>
    <x:cfRule type="containsText" dxfId="15" priority="4" operator="containsText" text="Bloqueado"/>
  </x:conditionalFormatting>
  <x:conditionalFormatting sqref="K2:K20">
    <x:cfRule type="containsText" dxfId="16" priority="5" operator="containsText" text="Crítica"/>
    <x:cfRule type="containsText" dxfId="17" priority="6" operator="containsText" text="Alta"/>
  </x:conditionalFormatting>
  <x:pageMargins left="0.7" right="0.7" top="0.75" bottom="0.75" header="0.3" footer="0.3"/>
  <x:tableParts count="1">
    <x:tablePart xmlns:r="http://schemas.openxmlformats.org/officeDocument/2006/relationships" r:id="R9bf0e3e65ac94c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0" hidden="0" customWidth="1"/>
    <x:col min="5" max="5" width="52" hidden="0" customWidth="1"/>
    <x:col min="6" max="6" width="18" hidden="0" customWidth="1"/>
    <x:col min="7" max="7" width="18" hidden="0" customWidth="1"/>
    <x:col min="8" max="8" width="20" hidden="0" customWidth="1"/>
    <x:col min="9" max="9" width="14" hidden="0" customWidth="1"/>
    <x:col min="10" max="10" width="12" hidden="0" customWidth="1"/>
    <x:col min="11" max="11" width="36" hidden="0" customWidth="1"/>
  </x:cols>
  <x:sheetData>
    <x:row r="1" ht="24" customHeight="1">
      <x:c r="A1" s="97" t="str">
        <x:v>ID</x:v>
      </x:c>
      <x:c r="B1" s="98" t="str">
        <x:v>Fecha estimada</x:v>
      </x:c>
      <x:c r="C1" s="98" t="str">
        <x:v>Mes</x:v>
      </x:c>
      <x:c r="D1" s="98" t="str">
        <x:v>Año</x:v>
      </x:c>
      <x:c r="E1" s="98" t="str">
        <x:v>Hito / Actividad</x:v>
      </x:c>
      <x:c r="F1" s="98" t="str">
        <x:v>Etapa</x:v>
      </x:c>
      <x:c r="G1" s="98" t="str">
        <x:v>Rubro</x:v>
      </x:c>
      <x:c r="H1" s="98" t="str">
        <x:v>Responsable</x:v>
      </x:c>
      <x:c r="I1" s="98" t="str">
        <x:v>Estado</x:v>
      </x:c>
      <x:c r="J1" s="98" t="str">
        <x:v>Prioridad</x:v>
      </x:c>
      <x:c r="K1" s="98" t="str">
        <x:v>Comentario</x:v>
      </x:c>
    </x:row>
    <x:row r="2" ht="36" customHeight="1">
      <x:c r="A2" s="83" t="n">
        <x:v>1</x:v>
      </x:c>
      <x:c r="B2" s="101" t="n">
        <x:v>46143</x:v>
      </x:c>
      <x:c r="C2" s="84" t="str">
        <x:v>Mayo</x:v>
      </x:c>
      <x:c r="D2" s="84" t="n">
        <x:v>2026</x:v>
      </x:c>
      <x:c r="E2" s="84" t="str">
        <x:v>Pago parcial a la gestora, según acuerdo.</x:v>
      </x:c>
      <x:c r="F2" s="84" t="str">
        <x:v>Compra / Escritura</x:v>
      </x:c>
      <x:c r="G2" s="84" t="str">
        <x:v>Legal</x:v>
      </x:c>
      <x:c r="H2" s="84" t="str">
        <x:v>Socios</x:v>
      </x:c>
      <x:c r="I2" s="84" t="str">
        <x:v>Pendiente</x:v>
      </x:c>
      <x:c r="J2" s="84" t="str">
        <x:v>Crítica</x:v>
      </x:c>
      <x:c r="K2" s="85" t="str">
        <x:v>Primeros pasos para presentar planos en la muni</x:v>
      </x:c>
    </x:row>
    <x:row r="3" ht="36" customHeight="1">
      <x:c r="A3" s="83" t="n">
        <x:v>5</x:v>
      </x:c>
      <x:c r="B3" s="101" t="n">
        <x:v>46168</x:v>
      </x:c>
      <x:c r="C3" s="84" t="str">
        <x:v>Mayo</x:v>
      </x:c>
      <x:c r="D3" s="84" t="n">
        <x:v>2026</x:v>
      </x:c>
      <x:c r="E3" s="84" t="str">
        <x:v>Recibir informe de estudio de suelos y agrimensor.</x:v>
      </x:c>
      <x:c r="F3" s="84" t="str">
        <x:v>Preobra</x:v>
      </x:c>
      <x:c r="G3" s="84" t="str">
        <x:v>Suelos</x:v>
      </x:c>
      <x:c r="H3" s="84" t="str">
        <x:v>Socios</x:v>
      </x:c>
      <x:c r="I3" s="84" t="str">
        <x:v>Pendiente</x:v>
      </x:c>
      <x:c r="J3" s="84" t="str">
        <x:v>Alta</x:v>
      </x:c>
      <x:c r="K3" s="85" t="str"/>
    </x:row>
    <x:row r="4" ht="36" customHeight="1">
      <x:c r="A4" s="83" t="n">
        <x:v>7</x:v>
      </x:c>
      <x:c r="B4" s="101" t="n">
        <x:v>46174</x:v>
      </x:c>
      <x:c r="C4" s="84" t="str">
        <x:v>Junio</x:v>
      </x:c>
      <x:c r="D4" s="84" t="n">
        <x:v>2026</x:v>
      </x:c>
      <x:c r="E4" s="84" t="str">
        <x:v>Con el proyecto definido, armar presupuesto preliminar de obra por rubros. Preparar primer borrador de flujo de fondos</x:v>
      </x:c>
      <x:c r="F4" s="84" t="str">
        <x:v>Finanzas</x:v>
      </x:c>
      <x:c r="G4" s="84" t="str">
        <x:v>Finanzas</x:v>
      </x:c>
      <x:c r="H4" s="84" t="str">
        <x:v>Socios</x:v>
      </x:c>
      <x:c r="I4" s="84" t="str">
        <x:v>Pendiente</x:v>
      </x:c>
      <x:c r="J4" s="84" t="str">
        <x:v>Alta</x:v>
      </x:c>
      <x:c r="K4" s="85" t="str"/>
    </x:row>
    <x:row r="5" ht="36" customHeight="1">
      <x:c r="A5" s="83" t="n">
        <x:v>10</x:v>
      </x:c>
      <x:c r="B5" s="101" t="n">
        <x:v>46199</x:v>
      </x:c>
      <x:c r="C5" s="84" t="str">
        <x:v>Junio</x:v>
      </x:c>
      <x:c r="D5" s="84" t="n">
        <x:v>2026</x:v>
      </x:c>
      <x:c r="E5" s="84" t="str">
        <x:v>Armar primer modelo económico base. Cargar terreno, costo de obra, honorarios, imprevistos y precio de venta por m². Calcular rentabilidad esperada preliminar</x:v>
      </x:c>
      <x:c r="F5" s="84" t="str">
        <x:v>Proyecto</x:v>
      </x:c>
      <x:c r="G5" s="84" t="str">
        <x:v>Finanzas</x:v>
      </x:c>
      <x:c r="H5" s="84" t="str">
        <x:v>Socios</x:v>
      </x:c>
      <x:c r="I5" s="84" t="str">
        <x:v>Pendiente</x:v>
      </x:c>
      <x:c r="J5" s="84" t="str">
        <x:v>Alta</x:v>
      </x:c>
      <x:c r="K5" s="85" t="str">
        <x:v>Modelo v0.1</x:v>
      </x:c>
    </x:row>
    <x:row r="6" ht="36" customHeight="1">
      <x:c r="A6" s="83" t="n">
        <x:v>11</x:v>
      </x:c>
      <x:c r="B6" s="101" t="n">
        <x:v>46199</x:v>
      </x:c>
      <x:c r="C6" s="84" t="str">
        <x:v>Junio</x:v>
      </x:c>
      <x:c r="D6" s="84" t="n">
        <x:v>2026</x:v>
      </x:c>
      <x:c r="E6" s="84" t="str">
        <x:v>Coordinación con escribanía para escrituración y pago de saldo</x:v>
      </x:c>
      <x:c r="F6" s="84" t="str">
        <x:v>Compra / Escritura</x:v>
      </x:c>
      <x:c r="G6" s="84" t="str">
        <x:v>Legal</x:v>
      </x:c>
      <x:c r="H6" s="84" t="str">
        <x:v>Socios</x:v>
      </x:c>
      <x:c r="I6" s="84" t="str">
        <x:v>Pendiente</x:v>
      </x:c>
      <x:c r="J6" s="84" t="str">
        <x:v>Crítica</x:v>
      </x:c>
      <x:c r="K6" s="85" t="str">
        <x:v>Bloque inicial para poder llegar a escritura</x:v>
      </x:c>
    </x:row>
    <x:row r="7" ht="36" customHeight="1">
      <x:c r="A7" s="83" t="n">
        <x:v>13</x:v>
      </x:c>
      <x:c r="B7" s="101" t="n">
        <x:v>46204</x:v>
      </x:c>
      <x:c r="C7" s="84" t="str">
        <x:v>Julio</x:v>
      </x:c>
      <x:c r="D7" s="84" t="n">
        <x:v>2026</x:v>
      </x:c>
      <x:c r="E7" s="84" t="str">
        <x:v>Escritura del terreno si se cumple el plazo de 90 días. Toma de posesión. Pago del saldo. Obtención de documentación.</x:v>
      </x:c>
      <x:c r="F7" s="84" t="str">
        <x:v>Compra / Escritura</x:v>
      </x:c>
      <x:c r="G7" s="84" t="str">
        <x:v>Legal</x:v>
      </x:c>
      <x:c r="H7" s="84" t="str">
        <x:v>Socios</x:v>
      </x:c>
      <x:c r="I7" s="84" t="str">
        <x:v>Pendiente</x:v>
      </x:c>
      <x:c r="J7" s="84" t="str">
        <x:v>Crítica</x:v>
      </x:c>
      <x:c r="K7" s="85" t="str">
        <x:v>Hito central del proyecto</x:v>
      </x:c>
    </x:row>
    <x:row r="8" ht="36" customHeight="1">
      <x:c r="A8" s="83" t="n">
        <x:v>17</x:v>
      </x:c>
      <x:c r="B8" s="101" t="n">
        <x:v>46229</x:v>
      </x:c>
      <x:c r="C8" s="84" t="str">
        <x:v>Julio</x:v>
      </x:c>
      <x:c r="D8" s="84" t="n">
        <x:v>2026</x:v>
      </x:c>
      <x:c r="E8" s="84" t="str">
        <x:v>Iniciar análisis comercial del producto. Definir precios por etapas. Definir perfil de comprador. Volver a relevar competencia.</x:v>
      </x:c>
      <x:c r="F8" s="84" t="str">
        <x:v>Comercial</x:v>
      </x:c>
      <x:c r="G8" s="84" t="str">
        <x:v>Marketing / Ventas</x:v>
      </x:c>
      <x:c r="H8" s="84" t="str">
        <x:v>Socios</x:v>
      </x:c>
      <x:c r="I8" s="84" t="str">
        <x:v>Pendiente</x:v>
      </x:c>
      <x:c r="J8" s="84" t="str">
        <x:v>Alta</x:v>
      </x:c>
      <x:c r="K8" s="85" t="str">
        <x:v>Sirve para orientar el mix y la preventa</x:v>
      </x:c>
    </x:row>
    <x:row r="9" ht="36" customHeight="1">
      <x:c r="A9" s="83" t="n">
        <x:v>19</x:v>
      </x:c>
      <x:c r="B9" s="101" t="n">
        <x:v>46229</x:v>
      </x:c>
      <x:c r="C9" s="84" t="str">
        <x:v>Julio</x:v>
      </x:c>
      <x:c r="D9" s="84" t="n">
        <x:v>2026</x:v>
      </x:c>
      <x:c r="E9" s="84" t="str">
        <x:v>Cerrar proyecto arquitectónico prácticamente definitivo</x:v>
      </x:c>
      <x:c r="F9" s="84" t="str">
        <x:v>Proyecto</x:v>
      </x:c>
      <x:c r="G9" s="84" t="str">
        <x:v>Arquitectura</x:v>
      </x:c>
      <x:c r="H9" s="84" t="str">
        <x:v>Rodrigo / Socios</x:v>
      </x:c>
      <x:c r="I9" s="84" t="str">
        <x:v>Pendiente</x:v>
      </x:c>
      <x:c r="J9" s="84" t="str">
        <x:v>Crítica</x:v>
      </x:c>
      <x:c r="K9" s="85" t="str"/>
    </x:row>
    <x:row r="10" ht="36" customHeight="1">
      <x:c r="A10" s="83" t="n">
        <x:v>26</x:v>
      </x:c>
      <x:c r="B10" s="101" t="n">
        <x:v>46235</x:v>
      </x:c>
      <x:c r="C10" s="84" t="str">
        <x:v>Agosto</x:v>
      </x:c>
      <x:c r="D10" s="84" t="n">
        <x:v>2026</x:v>
      </x:c>
      <x:c r="E10" s="84" t="str">
        <x:v>Presentar o avanzar presentación municipal</x:v>
      </x:c>
      <x:c r="F10" s="84" t="str">
        <x:v>Tramitación</x:v>
      </x:c>
      <x:c r="G10" s="84" t="str">
        <x:v>Municipalidad</x:v>
      </x:c>
      <x:c r="H10" s="84" t="str">
        <x:v>Gestora / Rodrigo</x:v>
      </x:c>
      <x:c r="I10" s="84" t="str">
        <x:v>Pendiente</x:v>
      </x:c>
      <x:c r="J10" s="84" t="str">
        <x:v>Crítica</x:v>
      </x:c>
      <x:c r="K10" s="85" t="str"/>
    </x:row>
    <x:row r="11" ht="36" customHeight="1">
      <x:c r="A11" s="83" t="n">
        <x:v>27</x:v>
      </x:c>
      <x:c r="B11" s="101" t="n">
        <x:v>46235</x:v>
      </x:c>
      <x:c r="C11" s="84" t="str">
        <x:v>Agosto</x:v>
      </x:c>
      <x:c r="D11" s="84" t="n">
        <x:v>2026</x:v>
      </x:c>
      <x:c r="E11" s="84" t="str">
        <x:v>Responder ajustes solicitados por gestora o municipalidad</x:v>
      </x:c>
      <x:c r="F11" s="84" t="str">
        <x:v>Tramitación</x:v>
      </x:c>
      <x:c r="G11" s="84" t="str">
        <x:v>Municipalidad</x:v>
      </x:c>
      <x:c r="H11" s="84" t="str">
        <x:v>Gestora / Rodrigo</x:v>
      </x:c>
      <x:c r="I11" s="84" t="str">
        <x:v>Pendiente</x:v>
      </x:c>
      <x:c r="J11" s="84" t="str">
        <x:v>Crítica</x:v>
      </x:c>
      <x:c r="K11" s="85" t="str"/>
    </x:row>
    <x:row r="12" ht="36" customHeight="1">
      <x:c r="A12" s="83" t="n">
        <x:v>29</x:v>
      </x:c>
      <x:c r="B12" s="101" t="n">
        <x:v>46235</x:v>
      </x:c>
      <x:c r="C12" s="84" t="str">
        <x:v>Agosto</x:v>
      </x:c>
      <x:c r="D12" s="84" t="n">
        <x:v>2026</x:v>
      </x:c>
      <x:c r="E12" s="84" t="str">
        <x:v>Definir esquema comercial de precio de preventa. Definir criterio de ajuste por CAC o esquema propio. Definir anticipo y cuotas. Definir descuentos por pago contado.</x:v>
      </x:c>
      <x:c r="F12" s="84" t="str">
        <x:v>Comercial</x:v>
      </x:c>
      <x:c r="G12" s="84" t="str">
        <x:v>Marketing / Ventas</x:v>
      </x:c>
      <x:c r="H12" s="84" t="str">
        <x:v>Socios / Marketing / Comercial</x:v>
      </x:c>
      <x:c r="I12" s="84" t="str">
        <x:v>Pendiente</x:v>
      </x:c>
      <x:c r="J12" s="84" t="str">
        <x:v>Alta</x:v>
      </x:c>
      <x:c r="K12" s="85" t="str"/>
    </x:row>
    <x:row r="13" ht="36" customHeight="1">
      <x:c r="A13" s="83" t="n">
        <x:v>31</x:v>
      </x:c>
      <x:c r="B13" s="101" t="n">
        <x:v>46235</x:v>
      </x:c>
      <x:c r="C13" s="84" t="str">
        <x:v>Agosto</x:v>
      </x:c>
      <x:c r="D13" s="84" t="n">
        <x:v>2026</x:v>
      </x:c>
      <x:c r="E13" s="84" t="str">
        <x:v>Revisar flujo de fondos con escenario de preventas.</x:v>
      </x:c>
      <x:c r="F13" s="84" t="str">
        <x:v>Comercial</x:v>
      </x:c>
      <x:c r="G13" s="84" t="str">
        <x:v>Marketing / Ventas</x:v>
      </x:c>
      <x:c r="H13" s="84" t="str">
        <x:v>Socios / Marketing / Comercial</x:v>
      </x:c>
      <x:c r="I13" s="84" t="str">
        <x:v>Pendiente</x:v>
      </x:c>
      <x:c r="J13" s="84" t="str">
        <x:v>Alta</x:v>
      </x:c>
      <x:c r="K13" s="85" t="str"/>
    </x:row>
    <x:row r="14" ht="36" customHeight="1">
      <x:c r="A14" s="83" t="n">
        <x:v>35</x:v>
      </x:c>
      <x:c r="B14" s="101" t="n">
        <x:v>46266</x:v>
      </x:c>
      <x:c r="C14" s="84" t="str">
        <x:v>Septiembre</x:v>
      </x:c>
      <x:c r="D14" s="84" t="n">
        <x:v>2026</x:v>
      </x:c>
      <x:c r="E14" s="84" t="str">
        <x:v>Cerrar documentación para licitación de obra</x:v>
      </x:c>
      <x:c r="F14" s="84" t="str">
        <x:v>Proyecto</x:v>
      </x:c>
      <x:c r="G14" s="84" t="str">
        <x:v>Documentación técnica</x:v>
      </x:c>
      <x:c r="H14" s="84" t="str">
        <x:v>Rodrigo / Socios</x:v>
      </x:c>
      <x:c r="I14" s="84" t="str">
        <x:v>Pendiente</x:v>
      </x:c>
      <x:c r="J14" s="84" t="str">
        <x:v>Alta</x:v>
      </x:c>
      <x:c r="K14" s="85" t="str"/>
    </x:row>
    <x:row r="15" ht="36" customHeight="1">
      <x:c r="A15" s="83" t="n">
        <x:v>36</x:v>
      </x:c>
      <x:c r="B15" s="101" t="n">
        <x:v>46266</x:v>
      </x:c>
      <x:c r="C15" s="84" t="str">
        <x:v>Septiembre</x:v>
      </x:c>
      <x:c r="D15" s="84" t="n">
        <x:v>2026</x:v>
      </x:c>
      <x:c r="E15" s="84" t="str">
        <x:v>Iniciar pedido de presupuestos a constructoras o contratistas principales.</x:v>
      </x:c>
      <x:c r="F15" s="84" t="str">
        <x:v>Obra</x:v>
      </x:c>
      <x:c r="G15" s="84" t="str">
        <x:v>Constructora</x:v>
      </x:c>
      <x:c r="H15" s="84" t="str">
        <x:v>Socios</x:v>
      </x:c>
      <x:c r="I15" s="84" t="str">
        <x:v>Pendiente</x:v>
      </x:c>
      <x:c r="J15" s="84" t="str">
        <x:v>Alta</x:v>
      </x:c>
      <x:c r="K15" s="85" t="str"/>
    </x:row>
    <x:row r="16" ht="36" customHeight="1">
      <x:c r="A16" s="83" t="n">
        <x:v>37</x:v>
      </x:c>
      <x:c r="B16" s="101" t="n">
        <x:v>46266</x:v>
      </x:c>
      <x:c r="C16" s="84" t="str">
        <x:v>Septiembre</x:v>
      </x:c>
      <x:c r="D16" s="84" t="n">
        <x:v>2026</x:v>
      </x:c>
      <x:c r="E16" s="84" t="str">
        <x:v>Definir si la obra se hará por: construcción integral, por administración, por contratos separados por rubro.</x:v>
      </x:c>
      <x:c r="F16" s="84" t="str">
        <x:v>Obra</x:v>
      </x:c>
      <x:c r="G16" s="84" t="str">
        <x:v>Constructora</x:v>
      </x:c>
      <x:c r="H16" s="84" t="str">
        <x:v>Socios</x:v>
      </x:c>
      <x:c r="I16" s="84" t="str">
        <x:v>Pendiente</x:v>
      </x:c>
      <x:c r="J16" s="84" t="str">
        <x:v>Alta</x:v>
      </x:c>
      <x:c r="K16" s="85" t="str"/>
    </x:row>
    <x:row r="17" ht="36" customHeight="1">
      <x:c r="A17" s="83" t="n">
        <x:v>42</x:v>
      </x:c>
      <x:c r="B17" s="101" t="n">
        <x:v>46296</x:v>
      </x:c>
      <x:c r="C17" s="84" t="str">
        <x:v>Octubre</x:v>
      </x:c>
      <x:c r="D17" s="84" t="n">
        <x:v>2026</x:v>
      </x:c>
      <x:c r="E17" s="84" t="str">
        <x:v>Recibir presupuestos de obra</x:v>
      </x:c>
      <x:c r="F17" s="84" t="str">
        <x:v>Obra</x:v>
      </x:c>
      <x:c r="G17" s="84" t="str">
        <x:v>Constructora</x:v>
      </x:c>
      <x:c r="H17" s="84" t="str">
        <x:v>Socios</x:v>
      </x:c>
      <x:c r="I17" s="84" t="str">
        <x:v>Pendiente</x:v>
      </x:c>
      <x:c r="J17" s="84" t="str">
        <x:v>Alta</x:v>
      </x:c>
      <x:c r="K17" s="85" t="str"/>
    </x:row>
    <x:row r="18" ht="36" customHeight="1">
      <x:c r="A18" s="83" t="n">
        <x:v>43</x:v>
      </x:c>
      <x:c r="B18" s="101" t="n">
        <x:v>46296</x:v>
      </x:c>
      <x:c r="C18" s="84" t="str">
        <x:v>Octubre</x:v>
      </x:c>
      <x:c r="D18" s="84" t="n">
        <x:v>2026</x:v>
      </x:c>
      <x:c r="E18" s="84" t="str">
        <x:v>Comparar propuestas de contratistas</x:v>
      </x:c>
      <x:c r="F18" s="84" t="str">
        <x:v>Obra</x:v>
      </x:c>
      <x:c r="G18" s="84" t="str">
        <x:v>Constructora</x:v>
      </x:c>
      <x:c r="H18" s="84" t="str">
        <x:v>Socios</x:v>
      </x:c>
      <x:c r="I18" s="84" t="str">
        <x:v>Pendiente</x:v>
      </x:c>
      <x:c r="J18" s="84" t="str">
        <x:v>Alta</x:v>
      </x:c>
      <x:c r="K18" s="85" t="str"/>
    </x:row>
    <x:row r="19" ht="36" customHeight="1">
      <x:c r="A19" s="83" t="n">
        <x:v>50</x:v>
      </x:c>
      <x:c r="B19" s="101" t="n">
        <x:v>46327</x:v>
      </x:c>
      <x:c r="C19" s="84" t="str">
        <x:v>Noviembre</x:v>
      </x:c>
      <x:c r="D19" s="84" t="n">
        <x:v>2026</x:v>
      </x:c>
      <x:c r="E19" s="84" t="str">
        <x:v>Rechequear aprobación municipal</x:v>
      </x:c>
      <x:c r="F19" s="84" t="str">
        <x:v>Tramitación</x:v>
      </x:c>
      <x:c r="G19" s="84" t="str">
        <x:v>Municipalidad</x:v>
      </x:c>
      <x:c r="H19" s="84" t="str">
        <x:v>Gestora / Rodrigo</x:v>
      </x:c>
      <x:c r="I19" s="84" t="str">
        <x:v>Pendiente</x:v>
      </x:c>
      <x:c r="J19" s="84" t="str">
        <x:v>Alta</x:v>
      </x:c>
      <x:c r="K19" s="85" t="str"/>
    </x:row>
    <x:row r="20" ht="36" customHeight="1">
      <x:c r="A20" s="83" t="n">
        <x:v>51</x:v>
      </x:c>
      <x:c r="B20" s="101" t="n">
        <x:v>46327</x:v>
      </x:c>
      <x:c r="C20" s="84" t="str">
        <x:v>Noviembre</x:v>
      </x:c>
      <x:c r="D20" s="84" t="n">
        <x:v>2026</x:v>
      </x:c>
      <x:c r="E20" s="84" t="str">
        <x:v>Seleccionar preliminarmente contratista o constructora. Negociar precio de obra.  Negociar anticipos. Negociar plazos de obra Negociar certificaciones, ajustes, penalidades.</x:v>
      </x:c>
      <x:c r="F20" s="84" t="str">
        <x:v>Obra</x:v>
      </x:c>
      <x:c r="G20" s="84" t="str">
        <x:v>Constructora</x:v>
      </x:c>
      <x:c r="H20" s="84" t="str">
        <x:v>Socios / Constructora</x:v>
      </x:c>
      <x:c r="I20" s="84" t="str">
        <x:v>Pendiente</x:v>
      </x:c>
      <x:c r="J20" s="84" t="str">
        <x:v>Alta</x:v>
      </x:c>
      <x:c r="K20" s="85" t="str"/>
    </x:row>
    <x:row r="21" ht="36" customHeight="1">
      <x:c r="A21" s="83" t="n">
        <x:v>52</x:v>
      </x:c>
      <x:c r="B21" s="101" t="n">
        <x:v>46327</x:v>
      </x:c>
      <x:c r="C21" s="84" t="str">
        <x:v>Noviembre</x:v>
      </x:c>
      <x:c r="D21" s="84" t="n">
        <x:v>2026</x:v>
      </x:c>
      <x:c r="E21" s="84" t="str">
        <x:v>Contratar seguros preliminares</x:v>
      </x:c>
      <x:c r="F21" s="84" t="str">
        <x:v>Obra</x:v>
      </x:c>
      <x:c r="G21" s="84" t="str">
        <x:v>Constructora</x:v>
      </x:c>
      <x:c r="H21" s="84" t="str">
        <x:v>Socios / Constructora</x:v>
      </x:c>
      <x:c r="I21" s="84" t="str">
        <x:v>Pendiente</x:v>
      </x:c>
      <x:c r="J21" s="84" t="str">
        <x:v>Alta</x:v>
      </x:c>
      <x:c r="K21" s="85" t="str"/>
    </x:row>
    <x:row r="22" ht="36" customHeight="1">
      <x:c r="A22" s="83" t="n">
        <x:v>58</x:v>
      </x:c>
      <x:c r="B22" s="101" t="n">
        <x:v>46327</x:v>
      </x:c>
      <x:c r="C22" s="84" t="str">
        <x:v>Noviembre</x:v>
      </x:c>
      <x:c r="D22" s="84" t="n">
        <x:v>2026</x:v>
      </x:c>
      <x:c r="E22" s="84" t="str">
        <x:v>Continuar preventa activa</x:v>
      </x:c>
      <x:c r="F22" s="84" t="str">
        <x:v>Comercial</x:v>
      </x:c>
      <x:c r="G22" s="84" t="str">
        <x:v>Marketing / Ventas</x:v>
      </x:c>
      <x:c r="H22" s="84" t="str">
        <x:v>Socios / Comercial</x:v>
      </x:c>
      <x:c r="I22" s="84" t="str">
        <x:v>Pendiente</x:v>
      </x:c>
      <x:c r="J22" s="84" t="str">
        <x:v>Alta</x:v>
      </x:c>
      <x:c r="K22" s="85" t="str"/>
    </x:row>
    <x:row r="23" ht="36" customHeight="1">
      <x:c r="A23" s="83" t="n">
        <x:v>61</x:v>
      </x:c>
      <x:c r="B23" s="101" t="n">
        <x:v>46327</x:v>
      </x:c>
      <x:c r="C23" s="84" t="str">
        <x:v>Noviembre</x:v>
      </x:c>
      <x:c r="D23" s="84" t="n">
        <x:v>2026</x:v>
      </x:c>
      <x:c r="E23" s="84" t="str">
        <x:v>Preparar terreno para inicio</x:v>
      </x:c>
      <x:c r="F23" s="84" t="str">
        <x:v>Obra</x:v>
      </x:c>
      <x:c r="G23" s="84" t="str">
        <x:v>Obra preliminar</x:v>
      </x:c>
      <x:c r="H23" s="84" t="str">
        <x:v>Constructora / Socios</x:v>
      </x:c>
      <x:c r="I23" s="84" t="str">
        <x:v>Pendiente</x:v>
      </x:c>
      <x:c r="J23" s="84" t="str">
        <x:v>Alta</x:v>
      </x:c>
      <x:c r="K23" s="85" t="str"/>
    </x:row>
    <x:row r="24" ht="36" customHeight="1">
      <x:c r="A24" s="83" t="n">
        <x:v>62</x:v>
      </x:c>
      <x:c r="B24" s="101" t="n">
        <x:v>46327</x:v>
      </x:c>
      <x:c r="C24" s="84" t="str">
        <x:v>Noviembre</x:v>
      </x:c>
      <x:c r="D24" s="84" t="n">
        <x:v>2026</x:v>
      </x:c>
      <x:c r="E24" s="84" t="str">
        <x:v>Revisar medianeras</x:v>
      </x:c>
      <x:c r="F24" s="84" t="str">
        <x:v>Obra</x:v>
      </x:c>
      <x:c r="G24" s="84" t="str">
        <x:v>Obra preliminar</x:v>
      </x:c>
      <x:c r="H24" s="84" t="str">
        <x:v>Constructora / Socios</x:v>
      </x:c>
      <x:c r="I24" s="84" t="str">
        <x:v>Pendiente</x:v>
      </x:c>
      <x:c r="J24" s="84" t="str">
        <x:v>Alta</x:v>
      </x:c>
      <x:c r="K24" s="85" t="str"/>
    </x:row>
    <x:row r="25" ht="36" customHeight="1">
      <x:c r="A25" s="83" t="n">
        <x:v>63</x:v>
      </x:c>
      <x:c r="B25" s="101" t="n">
        <x:v>46327</x:v>
      </x:c>
      <x:c r="C25" s="84" t="str">
        <x:v>Noviembre</x:v>
      </x:c>
      <x:c r="D25" s="84" t="n">
        <x:v>2026</x:v>
      </x:c>
      <x:c r="E25" s="84" t="str">
        <x:v>Revisar estado de ocupación</x:v>
      </x:c>
      <x:c r="F25" s="84" t="str">
        <x:v>Obra</x:v>
      </x:c>
      <x:c r="G25" s="84" t="str">
        <x:v>Obra preliminar</x:v>
      </x:c>
      <x:c r="H25" s="84" t="str">
        <x:v>Constructora / Socios</x:v>
      </x:c>
      <x:c r="I25" s="84" t="str">
        <x:v>Pendiente</x:v>
      </x:c>
      <x:c r="J25" s="84" t="str">
        <x:v>Alta</x:v>
      </x:c>
      <x:c r="K25" s="85" t="str"/>
    </x:row>
    <x:row r="26" ht="36" customHeight="1">
      <x:c r="A26" s="83" t="n">
        <x:v>64</x:v>
      </x:c>
      <x:c r="B26" s="101" t="n">
        <x:v>46327</x:v>
      </x:c>
      <x:c r="C26" s="84" t="str">
        <x:v>Noviembre</x:v>
      </x:c>
      <x:c r="D26" s="84" t="n">
        <x:v>2026</x:v>
      </x:c>
      <x:c r="E26" s="84" t="str">
        <x:v>Revisar servicios existentes</x:v>
      </x:c>
      <x:c r="F26" s="84" t="str">
        <x:v>Obra</x:v>
      </x:c>
      <x:c r="G26" s="84" t="str">
        <x:v>Obra preliminar</x:v>
      </x:c>
      <x:c r="H26" s="84" t="str">
        <x:v>Constructora / Socios</x:v>
      </x:c>
      <x:c r="I26" s="84" t="str">
        <x:v>Pendiente</x:v>
      </x:c>
      <x:c r="J26" s="84" t="str">
        <x:v>Alta</x:v>
      </x:c>
      <x:c r="K26" s="85" t="str"/>
    </x:row>
    <x:row r="27" ht="36" customHeight="1">
      <x:c r="A27" s="83" t="n">
        <x:v>65</x:v>
      </x:c>
      <x:c r="B27" s="101" t="n">
        <x:v>46327</x:v>
      </x:c>
      <x:c r="C27" s="84" t="str">
        <x:v>Noviembre</x:v>
      </x:c>
      <x:c r="D27" s="84" t="n">
        <x:v>2026</x:v>
      </x:c>
      <x:c r="E27" s="84" t="str">
        <x:v>Revisar posibles demoliciones o limpieza</x:v>
      </x:c>
      <x:c r="F27" s="84" t="str">
        <x:v>Obra</x:v>
      </x:c>
      <x:c r="G27" s="84" t="str">
        <x:v>Obra preliminar</x:v>
      </x:c>
      <x:c r="H27" s="84" t="str">
        <x:v>Constructora / Socios</x:v>
      </x:c>
      <x:c r="I27" s="84" t="str">
        <x:v>Pendiente</x:v>
      </x:c>
      <x:c r="J27" s="84" t="str">
        <x:v>Alta</x:v>
      </x:c>
      <x:c r="K27" s="85" t="str"/>
    </x:row>
    <x:row r="28" ht="36" customHeight="1">
      <x:c r="A28" s="83" t="n">
        <x:v>66</x:v>
      </x:c>
      <x:c r="B28" s="101" t="n">
        <x:v>46357</x:v>
      </x:c>
      <x:c r="C28" s="84" t="str">
        <x:v>Diciembre</x:v>
      </x:c>
      <x:c r="D28" s="84" t="n">
        <x:v>2026</x:v>
      </x:c>
      <x:c r="E28" s="84" t="str">
        <x:v>Obtener aprobación municipal o llegar a etapa final de aprobación</x:v>
      </x:c>
      <x:c r="F28" s="84" t="str">
        <x:v>Tramitación</x:v>
      </x:c>
      <x:c r="G28" s="84" t="str">
        <x:v>Municipalidad</x:v>
      </x:c>
      <x:c r="H28" s="84" t="str">
        <x:v>Gestora / Rodrigo</x:v>
      </x:c>
      <x:c r="I28" s="84" t="str">
        <x:v>Pendiente</x:v>
      </x:c>
      <x:c r="J28" s="84" t="str">
        <x:v>Crítica</x:v>
      </x:c>
      <x:c r="K28" s="85" t="str"/>
    </x:row>
    <x:row r="29" ht="36" customHeight="1">
      <x:c r="A29" s="83" t="n">
        <x:v>67</x:v>
      </x:c>
      <x:c r="B29" s="101" t="n">
        <x:v>46357</x:v>
      </x:c>
      <x:c r="C29" s="84" t="str">
        <x:v>Diciembre</x:v>
      </x:c>
      <x:c r="D29" s="84" t="n">
        <x:v>2026</x:v>
      </x:c>
      <x:c r="E29" s="84" t="str">
        <x:v>Cerrar contrato con constructora o contratistas principales</x:v>
      </x:c>
      <x:c r="F29" s="84" t="str">
        <x:v>Obra</x:v>
      </x:c>
      <x:c r="G29" s="84" t="str">
        <x:v>Constructora</x:v>
      </x:c>
      <x:c r="H29" s="84" t="str">
        <x:v>Socios / Constructora / Dirección de obra</x:v>
      </x:c>
      <x:c r="I29" s="84" t="str">
        <x:v>Pendiente</x:v>
      </x:c>
      <x:c r="J29" s="84" t="str">
        <x:v>Crítica</x:v>
      </x:c>
      <x:c r="K29" s="85" t="str"/>
    </x:row>
    <x:row r="30" ht="36" customHeight="1">
      <x:c r="A30" s="83" t="n">
        <x:v>68</x:v>
      </x:c>
      <x:c r="B30" s="101" t="n">
        <x:v>46357</x:v>
      </x:c>
      <x:c r="C30" s="84" t="str">
        <x:v>Diciembre</x:v>
      </x:c>
      <x:c r="D30" s="84" t="n">
        <x:v>2026</x:v>
      </x:c>
      <x:c r="E30" s="84" t="str">
        <x:v>Definir cronograma de obra definitivo</x:v>
      </x:c>
      <x:c r="F30" s="84" t="str">
        <x:v>Obra</x:v>
      </x:c>
      <x:c r="G30" s="84" t="str">
        <x:v>Constructora</x:v>
      </x:c>
      <x:c r="H30" s="84" t="str">
        <x:v>Socios / Constructora / Dirección de obra</x:v>
      </x:c>
      <x:c r="I30" s="84" t="str">
        <x:v>Pendiente</x:v>
      </x:c>
      <x:c r="J30" s="84" t="str">
        <x:v>Crítica</x:v>
      </x:c>
      <x:c r="K30" s="85" t="str"/>
    </x:row>
    <x:row r="31" ht="36" customHeight="1">
      <x:c r="A31" s="83" t="n">
        <x:v>69</x:v>
      </x:c>
      <x:c r="B31" s="101" t="n">
        <x:v>46357</x:v>
      </x:c>
      <x:c r="C31" s="84" t="str">
        <x:v>Diciembre</x:v>
      </x:c>
      <x:c r="D31" s="84" t="n">
        <x:v>2026</x:v>
      </x:c>
      <x:c r="E31" s="84" t="str">
        <x:v>Cerrar presupuesto base de obra</x:v>
      </x:c>
      <x:c r="F31" s="84" t="str">
        <x:v>Obra</x:v>
      </x:c>
      <x:c r="G31" s="84" t="str">
        <x:v>Constructora</x:v>
      </x:c>
      <x:c r="H31" s="84" t="str">
        <x:v>Socios / Constructora / Dirección de obra</x:v>
      </x:c>
      <x:c r="I31" s="84" t="str">
        <x:v>Pendiente</x:v>
      </x:c>
      <x:c r="J31" s="84" t="str">
        <x:v>Crítica</x:v>
      </x:c>
      <x:c r="K31" s="85" t="str"/>
    </x:row>
    <x:row r="32" ht="36" customHeight="1">
      <x:c r="A32" s="83" t="n">
        <x:v>70</x:v>
      </x:c>
      <x:c r="B32" s="101" t="n">
        <x:v>46357</x:v>
      </x:c>
      <x:c r="C32" s="84" t="str">
        <x:v>Diciembre</x:v>
      </x:c>
      <x:c r="D32" s="84" t="n">
        <x:v>2026</x:v>
      </x:c>
      <x:c r="E32" s="84" t="str">
        <x:v>Contratar director de obra o jefe de obra, si corresponde</x:v>
      </x:c>
      <x:c r="F32" s="84" t="str">
        <x:v>Obra</x:v>
      </x:c>
      <x:c r="G32" s="84" t="str">
        <x:v>Constructora</x:v>
      </x:c>
      <x:c r="H32" s="84" t="str">
        <x:v>Socios / Constructora / Dirección de obra</x:v>
      </x:c>
      <x:c r="I32" s="84" t="str">
        <x:v>Pendiente</x:v>
      </x:c>
      <x:c r="J32" s="84" t="str">
        <x:v>Crítica</x:v>
      </x:c>
      <x:c r="K32" s="85" t="str"/>
    </x:row>
    <x:row r="33" ht="36" customHeight="1">
      <x:c r="A33" s="83" t="n">
        <x:v>71</x:v>
      </x:c>
      <x:c r="B33" s="101" t="n">
        <x:v>46357</x:v>
      </x:c>
      <x:c r="C33" s="84" t="str">
        <x:v>Diciembre</x:v>
      </x:c>
      <x:c r="D33" s="84" t="n">
        <x:v>2026</x:v>
      </x:c>
      <x:c r="E33" s="84" t="str">
        <x:v>Contratar higiene y seguridad</x:v>
      </x:c>
      <x:c r="F33" s="84" t="str">
        <x:v>Obra</x:v>
      </x:c>
      <x:c r="G33" s="84" t="str">
        <x:v>Constructora</x:v>
      </x:c>
      <x:c r="H33" s="84" t="str">
        <x:v>Socios / Constructora / Dirección de obra</x:v>
      </x:c>
      <x:c r="I33" s="84" t="str">
        <x:v>Pendiente</x:v>
      </x:c>
      <x:c r="J33" s="84" t="str">
        <x:v>Crítica</x:v>
      </x:c>
      <x:c r="K33" s="85" t="str"/>
    </x:row>
    <x:row r="34" ht="36" customHeight="1">
      <x:c r="A34" s="83" t="n">
        <x:v>72</x:v>
      </x:c>
      <x:c r="B34" s="101" t="n">
        <x:v>46357</x:v>
      </x:c>
      <x:c r="C34" s="84" t="str">
        <x:v>Diciembre</x:v>
      </x:c>
      <x:c r="D34" s="84" t="n">
        <x:v>2026</x:v>
      </x:c>
      <x:c r="E34" s="84" t="str">
        <x:v>Organizar obrador</x:v>
      </x:c>
      <x:c r="F34" s="84" t="str">
        <x:v>Obra</x:v>
      </x:c>
      <x:c r="G34" s="84" t="str">
        <x:v>Constructora</x:v>
      </x:c>
      <x:c r="H34" s="84" t="str">
        <x:v>Socios / Constructora / Dirección de obra</x:v>
      </x:c>
      <x:c r="I34" s="84" t="str">
        <x:v>Pendiente</x:v>
      </x:c>
      <x:c r="J34" s="84" t="str">
        <x:v>Crítica</x:v>
      </x:c>
      <x:c r="K34" s="85" t="str"/>
    </x:row>
    <x:row r="35" ht="36" customHeight="1">
      <x:c r="A35" s="83" t="n">
        <x:v>73</x:v>
      </x:c>
      <x:c r="B35" s="101" t="n">
        <x:v>46357</x:v>
      </x:c>
      <x:c r="C35" s="84" t="str">
        <x:v>Diciembre</x:v>
      </x:c>
      <x:c r="D35" s="84" t="n">
        <x:v>2026</x:v>
      </x:c>
      <x:c r="E35" s="84" t="str">
        <x:v>Tramitar permisos complementarios</x:v>
      </x:c>
      <x:c r="F35" s="84" t="str">
        <x:v>Obra</x:v>
      </x:c>
      <x:c r="G35" s="84" t="str">
        <x:v>Constructora</x:v>
      </x:c>
      <x:c r="H35" s="84" t="str">
        <x:v>Socios / Constructora / Dirección de obra</x:v>
      </x:c>
      <x:c r="I35" s="84" t="str">
        <x:v>Pendiente</x:v>
      </x:c>
      <x:c r="J35" s="84" t="str">
        <x:v>Crítica</x:v>
      </x:c>
      <x:c r="K35" s="85" t="str"/>
    </x:row>
    <x:row r="36" ht="36" customHeight="1">
      <x:c r="A36" s="83" t="n">
        <x:v>74</x:v>
      </x:c>
      <x:c r="B36" s="101" t="n">
        <x:v>46357</x:v>
      </x:c>
      <x:c r="C36" s="84" t="str">
        <x:v>Diciembre</x:v>
      </x:c>
      <x:c r="D36" s="84" t="n">
        <x:v>2026</x:v>
      </x:c>
      <x:c r="E36" s="84" t="str">
        <x:v>Cortar o adecuar servicios existentes</x:v>
      </x:c>
      <x:c r="F36" s="84" t="str">
        <x:v>Obra</x:v>
      </x:c>
      <x:c r="G36" s="84" t="str">
        <x:v>Constructora</x:v>
      </x:c>
      <x:c r="H36" s="84" t="str">
        <x:v>Socios / Constructora / Dirección de obra</x:v>
      </x:c>
      <x:c r="I36" s="84" t="str">
        <x:v>Pendiente</x:v>
      </x:c>
      <x:c r="J36" s="84" t="str">
        <x:v>Crítica</x:v>
      </x:c>
      <x:c r="K36" s="85" t="str"/>
    </x:row>
    <x:row r="37" ht="36" customHeight="1">
      <x:c r="A37" s="83" t="n">
        <x:v>75</x:v>
      </x:c>
      <x:c r="B37" s="101" t="n">
        <x:v>46357</x:v>
      </x:c>
      <x:c r="C37" s="84" t="str">
        <x:v>Diciembre</x:v>
      </x:c>
      <x:c r="D37" s="84" t="n">
        <x:v>2026</x:v>
      </x:c>
      <x:c r="E37" s="84" t="str">
        <x:v>Preparar demolición, limpieza o inicio de tareas preliminares</x:v>
      </x:c>
      <x:c r="F37" s="84" t="str">
        <x:v>Obra</x:v>
      </x:c>
      <x:c r="G37" s="84" t="str">
        <x:v>Constructora</x:v>
      </x:c>
      <x:c r="H37" s="84" t="str">
        <x:v>Socios / Constructora / Dirección de obra</x:v>
      </x:c>
      <x:c r="I37" s="84" t="str">
        <x:v>Pendiente</x:v>
      </x:c>
      <x:c r="J37" s="84" t="str">
        <x:v>Crítica</x:v>
      </x:c>
      <x:c r="K37" s="85" t="str"/>
    </x:row>
    <x:row r="38" ht="36" customHeight="1">
      <x:c r="A38" s="83" t="n">
        <x:v>76</x:v>
      </x:c>
      <x:c r="B38" s="101" t="n">
        <x:v>46357</x:v>
      </x:c>
      <x:c r="C38" s="84" t="str">
        <x:v>Diciembre</x:v>
      </x:c>
      <x:c r="D38" s="84" t="n">
        <x:v>2026</x:v>
      </x:c>
      <x:c r="E38" s="84" t="str">
        <x:v>Continuar preventa</x:v>
      </x:c>
      <x:c r="F38" s="84" t="str">
        <x:v>Comercial</x:v>
      </x:c>
      <x:c r="G38" s="84" t="str">
        <x:v>Marketing / Ventas</x:v>
      </x:c>
      <x:c r="H38" s="84" t="str">
        <x:v>Socios / Comercial</x:v>
      </x:c>
      <x:c r="I38" s="84" t="str">
        <x:v>Pendiente</x:v>
      </x:c>
      <x:c r="J38" s="84" t="str">
        <x:v>Alta</x:v>
      </x:c>
      <x:c r="K38" s="85" t="str"/>
    </x:row>
    <x:row r="39" ht="36" customHeight="1">
      <x:c r="A39" s="83" t="n">
        <x:v>77</x:v>
      </x:c>
      <x:c r="B39" s="101" t="n">
        <x:v>46357</x:v>
      </x:c>
      <x:c r="C39" s="84" t="str">
        <x:v>Diciembre</x:v>
      </x:c>
      <x:c r="D39" s="84" t="n">
        <x:v>2026</x:v>
      </x:c>
      <x:c r="E39" s="84" t="str">
        <x:v>Revisar caja disponible antes del inicio de obra</x:v>
      </x:c>
      <x:c r="F39" s="84" t="str">
        <x:v>Finanzas</x:v>
      </x:c>
      <x:c r="G39" s="84" t="str">
        <x:v>Finanzas</x:v>
      </x:c>
      <x:c r="H39" s="84" t="str">
        <x:v>Socios</x:v>
      </x:c>
      <x:c r="I39" s="84" t="str">
        <x:v>Pendiente</x:v>
      </x:c>
      <x:c r="J39" s="84" t="str">
        <x:v>Crítica</x:v>
      </x:c>
      <x:c r="K39" s="85" t="str"/>
    </x:row>
    <x:row r="40" ht="36" customHeight="1">
      <x:c r="A40" s="83" t="n">
        <x:v>78</x:v>
      </x:c>
      <x:c r="B40" s="101" t="n">
        <x:v>46357</x:v>
      </x:c>
      <x:c r="C40" s="84" t="str">
        <x:v>Diciembre</x:v>
      </x:c>
      <x:c r="D40" s="84" t="n">
        <x:v>2026</x:v>
      </x:c>
      <x:c r="E40" s="84" t="str">
        <x:v>Revisar aportes comprometidos</x:v>
      </x:c>
      <x:c r="F40" s="84" t="str">
        <x:v>Finanzas</x:v>
      </x:c>
      <x:c r="G40" s="84" t="str">
        <x:v>Finanzas</x:v>
      </x:c>
      <x:c r="H40" s="84" t="str">
        <x:v>Socios</x:v>
      </x:c>
      <x:c r="I40" s="84" t="str">
        <x:v>Pendiente</x:v>
      </x:c>
      <x:c r="J40" s="84" t="str">
        <x:v>Crítica</x:v>
      </x:c>
      <x:c r="K40" s="85" t="str"/>
    </x:row>
    <x:row r="41" ht="36" customHeight="1">
      <x:c r="A41" s="83" t="n">
        <x:v>79</x:v>
      </x:c>
      <x:c r="B41" s="101" t="n">
        <x:v>46357</x:v>
      </x:c>
      <x:c r="C41" s="84" t="str">
        <x:v>Diciembre</x:v>
      </x:c>
      <x:c r="D41" s="84" t="n">
        <x:v>2026</x:v>
      </x:c>
      <x:c r="E41" s="84" t="str">
        <x:v>Revisar preventas logradas</x:v>
      </x:c>
      <x:c r="F41" s="84" t="str">
        <x:v>Finanzas</x:v>
      </x:c>
      <x:c r="G41" s="84" t="str">
        <x:v>Finanzas</x:v>
      </x:c>
      <x:c r="H41" s="84" t="str">
        <x:v>Socios</x:v>
      </x:c>
      <x:c r="I41" s="84" t="str">
        <x:v>Pendiente</x:v>
      </x:c>
      <x:c r="J41" s="84" t="str">
        <x:v>Crítica</x:v>
      </x:c>
      <x:c r="K41" s="85" t="str"/>
    </x:row>
    <x:row r="42" ht="36" customHeight="1">
      <x:c r="A42" s="83" t="n">
        <x:v>80</x:v>
      </x:c>
      <x:c r="B42" s="101" t="n">
        <x:v>46357</x:v>
      </x:c>
      <x:c r="C42" s="84" t="str">
        <x:v>Diciembre</x:v>
      </x:c>
      <x:c r="D42" s="84" t="n">
        <x:v>2026</x:v>
      </x:c>
      <x:c r="E42" s="84" t="str">
        <x:v>Revisar necesidad de financiación adicional</x:v>
      </x:c>
      <x:c r="F42" s="84" t="str">
        <x:v>Finanzas</x:v>
      </x:c>
      <x:c r="G42" s="84" t="str">
        <x:v>Finanzas</x:v>
      </x:c>
      <x:c r="H42" s="84" t="str">
        <x:v>Socios</x:v>
      </x:c>
      <x:c r="I42" s="84" t="str">
        <x:v>Pendiente</x:v>
      </x:c>
      <x:c r="J42" s="84" t="str">
        <x:v>Crítica</x:v>
      </x:c>
      <x:c r="K42" s="85" t="str"/>
    </x:row>
    <x:row r="43" ht="36" customHeight="1">
      <x:c r="A43" s="83" t="n">
        <x:v>81</x:v>
      </x:c>
      <x:c r="B43" s="101" t="n">
        <x:v>46388</x:v>
      </x:c>
      <x:c r="C43" s="84" t="str">
        <x:v>Enero</x:v>
      </x:c>
      <x:c r="D43" s="84" t="n">
        <x:v>2027</x:v>
      </x:c>
      <x:c r="E43" s="84" t="str">
        <x:v>Iniciar obra</x:v>
      </x:c>
      <x:c r="F43" s="84" t="str">
        <x:v>Obra</x:v>
      </x:c>
      <x:c r="G43" s="84" t="str">
        <x:v>Obra preliminar</x:v>
      </x:c>
      <x:c r="H43" s="84" t="str">
        <x:v>Constructora</x:v>
      </x:c>
      <x:c r="I43" s="84" t="str">
        <x:v>Pendiente</x:v>
      </x:c>
      <x:c r="J43" s="84" t="str">
        <x:v>Crítica</x:v>
      </x:c>
      <x:c r="K43" s="85" t="str">
        <x:v>Inicio físico</x:v>
      </x:c>
    </x:row>
    <x:row r="44" ht="36" customHeight="1">
      <x:c r="A44" s="83" t="n">
        <x:v>82</x:v>
      </x:c>
      <x:c r="B44" s="101" t="n">
        <x:v>46388</x:v>
      </x:c>
      <x:c r="C44" s="84" t="str">
        <x:v>Enero</x:v>
      </x:c>
      <x:c r="D44" s="84" t="n">
        <x:v>2027</x:v>
      </x:c>
      <x:c r="E44" s="84" t="str">
        <x:v>Instalar obrador</x:v>
      </x:c>
      <x:c r="F44" s="84" t="str">
        <x:v>Obra</x:v>
      </x:c>
      <x:c r="G44" s="84" t="str">
        <x:v>Obra preliminar</x:v>
      </x:c>
      <x:c r="H44" s="84" t="str">
        <x:v>Constructora</x:v>
      </x:c>
      <x:c r="I44" s="84" t="str">
        <x:v>Pendiente</x:v>
      </x:c>
      <x:c r="J44" s="84" t="str">
        <x:v>Crítica</x:v>
      </x:c>
      <x:c r="K44" s="85" t="str">
        <x:v>Inicio físico</x:v>
      </x:c>
    </x:row>
    <x:row r="45" ht="36" customHeight="1">
      <x:c r="A45" s="83" t="n">
        <x:v>83</x:v>
      </x:c>
      <x:c r="B45" s="101" t="n">
        <x:v>46388</x:v>
      </x:c>
      <x:c r="C45" s="84" t="str">
        <x:v>Enero</x:v>
      </x:c>
      <x:c r="D45" s="84" t="n">
        <x:v>2027</x:v>
      </x:c>
      <x:c r="E45" s="84" t="str">
        <x:v>Vallar terreno</x:v>
      </x:c>
      <x:c r="F45" s="84" t="str">
        <x:v>Obra</x:v>
      </x:c>
      <x:c r="G45" s="84" t="str">
        <x:v>Obra preliminar</x:v>
      </x:c>
      <x:c r="H45" s="84" t="str">
        <x:v>Constructora</x:v>
      </x:c>
      <x:c r="I45" s="84" t="str">
        <x:v>Pendiente</x:v>
      </x:c>
      <x:c r="J45" s="84" t="str">
        <x:v>Crítica</x:v>
      </x:c>
      <x:c r="K45" s="85" t="str">
        <x:v>Inicio físico</x:v>
      </x:c>
    </x:row>
    <x:row r="46" ht="36" customHeight="1">
      <x:c r="A46" s="83" t="n">
        <x:v>84</x:v>
      </x:c>
      <x:c r="B46" s="101" t="n">
        <x:v>46388</x:v>
      </x:c>
      <x:c r="C46" s="84" t="str">
        <x:v>Enero</x:v>
      </x:c>
      <x:c r="D46" s="84" t="n">
        <x:v>2027</x:v>
      </x:c>
      <x:c r="E46" s="84" t="str">
        <x:v>Colocar cartel de obra</x:v>
      </x:c>
      <x:c r="F46" s="84" t="str">
        <x:v>Obra</x:v>
      </x:c>
      <x:c r="G46" s="84" t="str">
        <x:v>Obra preliminar</x:v>
      </x:c>
      <x:c r="H46" s="84" t="str">
        <x:v>Constructora</x:v>
      </x:c>
      <x:c r="I46" s="84" t="str">
        <x:v>Pendiente</x:v>
      </x:c>
      <x:c r="J46" s="84" t="str">
        <x:v>Crítica</x:v>
      </x:c>
      <x:c r="K46" s="85" t="str">
        <x:v>Inicio físico</x:v>
      </x:c>
    </x:row>
    <x:row r="47" ht="36" customHeight="1">
      <x:c r="A47" s="83" t="n">
        <x:v>85</x:v>
      </x:c>
      <x:c r="B47" s="101" t="n">
        <x:v>46388</x:v>
      </x:c>
      <x:c r="C47" s="84" t="str">
        <x:v>Enero</x:v>
      </x:c>
      <x:c r="D47" s="84" t="n">
        <x:v>2027</x:v>
      </x:c>
      <x:c r="E47" s="84" t="str">
        <x:v>Limpiar lote</x:v>
      </x:c>
      <x:c r="F47" s="84" t="str">
        <x:v>Obra</x:v>
      </x:c>
      <x:c r="G47" s="84" t="str">
        <x:v>Obra preliminar</x:v>
      </x:c>
      <x:c r="H47" s="84" t="str">
        <x:v>Constructora</x:v>
      </x:c>
      <x:c r="I47" s="84" t="str">
        <x:v>Pendiente</x:v>
      </x:c>
      <x:c r="J47" s="84" t="str">
        <x:v>Crítica</x:v>
      </x:c>
      <x:c r="K47" s="85" t="str">
        <x:v>Inicio físico</x:v>
      </x:c>
    </x:row>
    <x:row r="48" ht="36" customHeight="1">
      <x:c r="A48" s="83" t="n">
        <x:v>86</x:v>
      </x:c>
      <x:c r="B48" s="101" t="n">
        <x:v>46388</x:v>
      </x:c>
      <x:c r="C48" s="84" t="str">
        <x:v>Enero</x:v>
      </x:c>
      <x:c r="D48" s="84" t="n">
        <x:v>2027</x:v>
      </x:c>
      <x:c r="E48" s="84" t="str">
        <x:v>Demoler construcciones existentes si hubiera</x:v>
      </x:c>
      <x:c r="F48" s="84" t="str">
        <x:v>Obra</x:v>
      </x:c>
      <x:c r="G48" s="84" t="str">
        <x:v>Obra preliminar</x:v>
      </x:c>
      <x:c r="H48" s="84" t="str">
        <x:v>Constructora</x:v>
      </x:c>
      <x:c r="I48" s="84" t="str">
        <x:v>Pendiente</x:v>
      </x:c>
      <x:c r="J48" s="84" t="str">
        <x:v>Crítica</x:v>
      </x:c>
      <x:c r="K48" s="85" t="str">
        <x:v>Inicio físico</x:v>
      </x:c>
    </x:row>
    <x:row r="49" ht="36" customHeight="1">
      <x:c r="A49" s="83" t="n">
        <x:v>87</x:v>
      </x:c>
      <x:c r="B49" s="101" t="n">
        <x:v>46388</x:v>
      </x:c>
      <x:c r="C49" s="84" t="str">
        <x:v>Enero</x:v>
      </x:c>
      <x:c r="D49" s="84" t="n">
        <x:v>2027</x:v>
      </x:c>
      <x:c r="E49" s="84" t="str">
        <x:v>Realizar movimiento preliminar de suelo</x:v>
      </x:c>
      <x:c r="F49" s="84" t="str">
        <x:v>Obra</x:v>
      </x:c>
      <x:c r="G49" s="84" t="str">
        <x:v>Obra preliminar</x:v>
      </x:c>
      <x:c r="H49" s="84" t="str">
        <x:v>Constructora</x:v>
      </x:c>
      <x:c r="I49" s="84" t="str">
        <x:v>Pendiente</x:v>
      </x:c>
      <x:c r="J49" s="84" t="str">
        <x:v>Crítica</x:v>
      </x:c>
      <x:c r="K49" s="85" t="str">
        <x:v>Inicio físico</x:v>
      </x:c>
    </x:row>
    <x:row r="50" ht="36" customHeight="1">
      <x:c r="A50" s="83" t="n">
        <x:v>88</x:v>
      </x:c>
      <x:c r="B50" s="101" t="n">
        <x:v>46388</x:v>
      </x:c>
      <x:c r="C50" s="84" t="str">
        <x:v>Enero</x:v>
      </x:c>
      <x:c r="D50" s="84" t="n">
        <x:v>2027</x:v>
      </x:c>
      <x:c r="E50" s="84" t="str">
        <x:v>Realizar replanteo de obra</x:v>
      </x:c>
      <x:c r="F50" s="84" t="str">
        <x:v>Obra</x:v>
      </x:c>
      <x:c r="G50" s="84" t="str">
        <x:v>Obra preliminar</x:v>
      </x:c>
      <x:c r="H50" s="84" t="str">
        <x:v>Constructora</x:v>
      </x:c>
      <x:c r="I50" s="84" t="str">
        <x:v>Pendiente</x:v>
      </x:c>
      <x:c r="J50" s="84" t="str">
        <x:v>Crítica</x:v>
      </x:c>
      <x:c r="K50" s="85" t="str">
        <x:v>Inicio físico</x:v>
      </x:c>
    </x:row>
    <x:row r="51" ht="36" customHeight="1">
      <x:c r="A51" s="83" t="n">
        <x:v>89</x:v>
      </x:c>
      <x:c r="B51" s="101" t="n">
        <x:v>46388</x:v>
      </x:c>
      <x:c r="C51" s="84" t="str">
        <x:v>Enero</x:v>
      </x:c>
      <x:c r="D51" s="84" t="n">
        <x:v>2027</x:v>
      </x:c>
      <x:c r="E51" s="84" t="str">
        <x:v>Iniciar excavación</x:v>
      </x:c>
      <x:c r="F51" s="84" t="str">
        <x:v>Obra</x:v>
      </x:c>
      <x:c r="G51" s="84" t="str">
        <x:v>Obra preliminar</x:v>
      </x:c>
      <x:c r="H51" s="84" t="str">
        <x:v>Constructora</x:v>
      </x:c>
      <x:c r="I51" s="84" t="str">
        <x:v>Pendiente</x:v>
      </x:c>
      <x:c r="J51" s="84" t="str">
        <x:v>Crítica</x:v>
      </x:c>
      <x:c r="K51" s="85" t="str">
        <x:v>Inicio físico</x:v>
      </x:c>
    </x:row>
    <x:row r="52" ht="36" customHeight="1">
      <x:c r="A52" s="83" t="n">
        <x:v>90</x:v>
      </x:c>
      <x:c r="B52" s="101" t="n">
        <x:v>46388</x:v>
      </x:c>
      <x:c r="C52" s="84" t="str">
        <x:v>Enero</x:v>
      </x:c>
      <x:c r="D52" s="84" t="n">
        <x:v>2027</x:v>
      </x:c>
      <x:c r="E52" s="84" t="str">
        <x:v>Contratar operativamente proveedores principales</x:v>
      </x:c>
      <x:c r="F52" s="84" t="str">
        <x:v>Obra</x:v>
      </x:c>
      <x:c r="G52" s="84" t="str">
        <x:v>Obra preliminar</x:v>
      </x:c>
      <x:c r="H52" s="84" t="str">
        <x:v>Constructora</x:v>
      </x:c>
      <x:c r="I52" s="84" t="str">
        <x:v>Pendiente</x:v>
      </x:c>
      <x:c r="J52" s="84" t="str">
        <x:v>Crítica</x:v>
      </x:c>
      <x:c r="K52" s="85" t="str">
        <x:v>Inicio físico</x:v>
      </x:c>
    </x:row>
    <x:row r="53" ht="36" customHeight="1">
      <x:c r="A53" s="83" t="n">
        <x:v>91</x:v>
      </x:c>
      <x:c r="B53" s="101" t="n">
        <x:v>46388</x:v>
      </x:c>
      <x:c r="C53" s="84" t="str">
        <x:v>Enero</x:v>
      </x:c>
      <x:c r="D53" s="84" t="n">
        <x:v>2027</x:v>
      </x:c>
      <x:c r="E53" s="84" t="str">
        <x:v>Comunicar comercialmente obra iniciada</x:v>
      </x:c>
      <x:c r="F53" s="84" t="str">
        <x:v>Comercial</x:v>
      </x:c>
      <x:c r="G53" s="84" t="str">
        <x:v>Marketing / Ventas</x:v>
      </x:c>
      <x:c r="H53" s="84" t="str">
        <x:v>Socios / Marketing</x:v>
      </x:c>
      <x:c r="I53" s="84" t="str">
        <x:v>Pendiente</x:v>
      </x:c>
      <x:c r="J53" s="84" t="str">
        <x:v>Media</x:v>
      </x:c>
      <x:c r="K53" s="85" t="str"/>
    </x:row>
    <x:row r="54" ht="36" customHeight="1">
      <x:c r="A54" s="83" t="n">
        <x:v>93</x:v>
      </x:c>
      <x:c r="B54" s="101" t="n">
        <x:v>46419</x:v>
      </x:c>
      <x:c r="C54" s="84" t="str">
        <x:v>Febrero</x:v>
      </x:c>
      <x:c r="D54" s="84" t="n">
        <x:v>2027</x:v>
      </x:c>
      <x:c r="E54" s="84" t="str">
        <x:v>Continuar excavación</x:v>
      </x:c>
      <x:c r="F54" s="84" t="str">
        <x:v>Obra</x:v>
      </x:c>
      <x:c r="G54" s="84" t="str">
        <x:v>Excavación / Fundaciones</x:v>
      </x:c>
      <x:c r="H54" s="84" t="str">
        <x:v>Constructora / Dirección de obra</x:v>
      </x:c>
      <x:c r="I54" s="84" t="str">
        <x:v>Pendiente</x:v>
      </x:c>
      <x:c r="J54" s="84" t="str">
        <x:v>Alta</x:v>
      </x:c>
      <x:c r="K54" s="85" t="str"/>
    </x:row>
    <x:row r="55" ht="36" customHeight="1">
      <x:c r="A55" s="83" t="n">
        <x:v>94</x:v>
      </x:c>
      <x:c r="B55" s="101" t="n">
        <x:v>46419</x:v>
      </x:c>
      <x:c r="C55" s="84" t="str">
        <x:v>Febrero</x:v>
      </x:c>
      <x:c r="D55" s="84" t="n">
        <x:v>2027</x:v>
      </x:c>
      <x:c r="E55" s="84" t="str">
        <x:v>Preparar fundaciones</x:v>
      </x:c>
      <x:c r="F55" s="84" t="str">
        <x:v>Obra</x:v>
      </x:c>
      <x:c r="G55" s="84" t="str">
        <x:v>Excavación / Fundaciones</x:v>
      </x:c>
      <x:c r="H55" s="84" t="str">
        <x:v>Constructora / Dirección de obra</x:v>
      </x:c>
      <x:c r="I55" s="84" t="str">
        <x:v>Pendiente</x:v>
      </x:c>
      <x:c r="J55" s="84" t="str">
        <x:v>Alta</x:v>
      </x:c>
      <x:c r="K55" s="85" t="str"/>
    </x:row>
    <x:row r="56" ht="36" customHeight="1">
      <x:c r="A56" s="83" t="n">
        <x:v>95</x:v>
      </x:c>
      <x:c r="B56" s="101" t="n">
        <x:v>46419</x:v>
      </x:c>
      <x:c r="C56" s="84" t="str">
        <x:v>Febrero</x:v>
      </x:c>
      <x:c r="D56" s="84" t="n">
        <x:v>2027</x:v>
      </x:c>
      <x:c r="E56" s="84" t="str">
        <x:v>Ejecutar bases, pilotes o sistema definido según estudio de suelos</x:v>
      </x:c>
      <x:c r="F56" s="84" t="str">
        <x:v>Obra</x:v>
      </x:c>
      <x:c r="G56" s="84" t="str">
        <x:v>Excavación / Fundaciones</x:v>
      </x:c>
      <x:c r="H56" s="84" t="str">
        <x:v>Constructora / Dirección de obra</x:v>
      </x:c>
      <x:c r="I56" s="84" t="str">
        <x:v>Pendiente</x:v>
      </x:c>
      <x:c r="J56" s="84" t="str">
        <x:v>Alta</x:v>
      </x:c>
      <x:c r="K56" s="85" t="str"/>
    </x:row>
    <x:row r="57" ht="36" customHeight="1">
      <x:c r="A57" s="83" t="n">
        <x:v>96</x:v>
      </x:c>
      <x:c r="B57" s="101" t="n">
        <x:v>46419</x:v>
      </x:c>
      <x:c r="C57" s="84" t="str">
        <x:v>Febrero</x:v>
      </x:c>
      <x:c r="D57" s="84" t="n">
        <x:v>2027</x:v>
      </x:c>
      <x:c r="E57" s="84" t="str">
        <x:v>Iniciar submuraciones, si corresponden</x:v>
      </x:c>
      <x:c r="F57" s="84" t="str">
        <x:v>Obra</x:v>
      </x:c>
      <x:c r="G57" s="84" t="str">
        <x:v>Excavación / Fundaciones</x:v>
      </x:c>
      <x:c r="H57" s="84" t="str">
        <x:v>Constructora / Dirección de obra</x:v>
      </x:c>
      <x:c r="I57" s="84" t="str">
        <x:v>Pendiente</x:v>
      </x:c>
      <x:c r="J57" s="84" t="str">
        <x:v>Alta</x:v>
      </x:c>
      <x:c r="K57" s="85" t="str"/>
    </x:row>
    <x:row r="58" ht="36" customHeight="1">
      <x:c r="A58" s="83" t="n">
        <x:v>97</x:v>
      </x:c>
      <x:c r="B58" s="101" t="n">
        <x:v>46419</x:v>
      </x:c>
      <x:c r="C58" s="84" t="str">
        <x:v>Febrero</x:v>
      </x:c>
      <x:c r="D58" s="84" t="n">
        <x:v>2027</x:v>
      </x:c>
      <x:c r="E58" s="84" t="str">
        <x:v>Controlar medianeras</x:v>
      </x:c>
      <x:c r="F58" s="84" t="str">
        <x:v>Obra</x:v>
      </x:c>
      <x:c r="G58" s="84" t="str">
        <x:v>Excavación / Fundaciones</x:v>
      </x:c>
      <x:c r="H58" s="84" t="str">
        <x:v>Constructora / Dirección de obra</x:v>
      </x:c>
      <x:c r="I58" s="84" t="str">
        <x:v>Pendiente</x:v>
      </x:c>
      <x:c r="J58" s="84" t="str">
        <x:v>Alta</x:v>
      </x:c>
      <x:c r="K58" s="85" t="str"/>
    </x:row>
    <x:row r="59" ht="36" customHeight="1">
      <x:c r="A59" s="83" t="n">
        <x:v>98</x:v>
      </x:c>
      <x:c r="B59" s="101" t="n">
        <x:v>46419</x:v>
      </x:c>
      <x:c r="C59" s="84" t="str">
        <x:v>Febrero</x:v>
      </x:c>
      <x:c r="D59" s="84" t="n">
        <x:v>2027</x:v>
      </x:c>
      <x:c r="E59" s="84" t="str">
        <x:v>Emitir primeras certificaciones de obra</x:v>
      </x:c>
      <x:c r="F59" s="84" t="str">
        <x:v>Obra</x:v>
      </x:c>
      <x:c r="G59" s="84" t="str">
        <x:v>Excavación / Fundaciones</x:v>
      </x:c>
      <x:c r="H59" s="84" t="str">
        <x:v>Constructora / Dirección de obra</x:v>
      </x:c>
      <x:c r="I59" s="84" t="str">
        <x:v>Pendiente</x:v>
      </x:c>
      <x:c r="J59" s="84" t="str">
        <x:v>Alta</x:v>
      </x:c>
      <x:c r="K59" s="85" t="str"/>
    </x:row>
    <x:row r="60" ht="36" customHeight="1">
      <x:c r="A60" s="83" t="n">
        <x:v>100</x:v>
      </x:c>
      <x:c r="B60" s="101" t="n">
        <x:v>46419</x:v>
      </x:c>
      <x:c r="C60" s="84" t="str">
        <x:v>Febrero</x:v>
      </x:c>
      <x:c r="D60" s="84" t="n">
        <x:v>2027</x:v>
      </x:c>
      <x:c r="E60" s="84" t="str">
        <x:v>Continuar ventas y preventas</x:v>
      </x:c>
      <x:c r="F60" s="84" t="str">
        <x:v>Comercial</x:v>
      </x:c>
      <x:c r="G60" s="84" t="str">
        <x:v>Marketing / Ventas</x:v>
      </x:c>
      <x:c r="H60" s="84" t="str">
        <x:v>Comercial / Marketing</x:v>
      </x:c>
      <x:c r="I60" s="84" t="str">
        <x:v>Pendiente</x:v>
      </x:c>
      <x:c r="J60" s="84" t="str">
        <x:v>Media</x:v>
      </x:c>
      <x:c r="K60" s="85" t="str"/>
    </x:row>
    <x:row r="61" ht="36" customHeight="1">
      <x:c r="A61" s="83" t="n">
        <x:v>101</x:v>
      </x:c>
      <x:c r="B61" s="101" t="n">
        <x:v>46419</x:v>
      </x:c>
      <x:c r="C61" s="84" t="str">
        <x:v>Febrero</x:v>
      </x:c>
      <x:c r="D61" s="84" t="n">
        <x:v>2027</x:v>
      </x:c>
      <x:c r="E61" s="84" t="str">
        <x:v>Publicar avance de obra para compradores e inversores</x:v>
      </x:c>
      <x:c r="F61" s="84" t="str">
        <x:v>Comercial</x:v>
      </x:c>
      <x:c r="G61" s="84" t="str">
        <x:v>Marketing / Ventas</x:v>
      </x:c>
      <x:c r="H61" s="84" t="str">
        <x:v>Comercial / Marketing</x:v>
      </x:c>
      <x:c r="I61" s="84" t="str">
        <x:v>Pendiente</x:v>
      </x:c>
      <x:c r="J61" s="84" t="str">
        <x:v>Media</x:v>
      </x:c>
      <x:c r="K61" s="85" t="str"/>
    </x:row>
    <x:row r="62" ht="36" customHeight="1">
      <x:c r="A62" s="83" t="n">
        <x:v>102</x:v>
      </x:c>
      <x:c r="B62" s="101" t="n">
        <x:v>46447</x:v>
      </x:c>
      <x:c r="C62" s="84" t="str">
        <x:v>Marzo</x:v>
      </x:c>
      <x:c r="D62" s="84" t="n">
        <x:v>2027</x:v>
      </x:c>
      <x:c r="E62" s="84" t="str">
        <x:v>Finalizar o avanzar fuerte en fundaciones</x:v>
      </x:c>
      <x:c r="F62" s="84" t="str">
        <x:v>Obra</x:v>
      </x:c>
      <x:c r="G62" s="84" t="str">
        <x:v>Excavación / Fundaciones</x:v>
      </x:c>
      <x:c r="H62" s="84" t="str">
        <x:v>Constructora</x:v>
      </x:c>
      <x:c r="I62" s="84" t="str">
        <x:v>Pendiente</x:v>
      </x:c>
      <x:c r="J62" s="84" t="str">
        <x:v>Alta</x:v>
      </x:c>
      <x:c r="K62" s="85" t="str"/>
    </x:row>
    <x:row r="63" ht="36" customHeight="1">
      <x:c r="A63" s="83" t="n">
        <x:v>103</x:v>
      </x:c>
      <x:c r="B63" s="101" t="n">
        <x:v>46447</x:v>
      </x:c>
      <x:c r="C63" s="84" t="str">
        <x:v>Marzo</x:v>
      </x:c>
      <x:c r="D63" s="84" t="n">
        <x:v>2027</x:v>
      </x:c>
      <x:c r="E63" s="84" t="str">
        <x:v>Iniciar estructura de planta baja</x:v>
      </x:c>
      <x:c r="F63" s="84" t="str">
        <x:v>Obra</x:v>
      </x:c>
      <x:c r="G63" s="84" t="str">
        <x:v>Estructura</x:v>
      </x:c>
      <x:c r="H63" s="84" t="str">
        <x:v>Constructora / Calculista / Dirección de obra</x:v>
      </x:c>
      <x:c r="I63" s="84" t="str">
        <x:v>Pendiente</x:v>
      </x:c>
      <x:c r="J63" s="84" t="str">
        <x:v>Alta</x:v>
      </x:c>
      <x:c r="K63" s="85" t="str"/>
    </x:row>
    <x:row r="64" ht="36" customHeight="1">
      <x:c r="A64" s="83" t="n">
        <x:v>104</x:v>
      </x:c>
      <x:c r="B64" s="101" t="n">
        <x:v>46447</x:v>
      </x:c>
      <x:c r="C64" s="84" t="str">
        <x:v>Marzo</x:v>
      </x:c>
      <x:c r="D64" s="84" t="n">
        <x:v>2027</x:v>
      </x:c>
      <x:c r="E64" s="84" t="str">
        <x:v>Armar columnas, vigas y losas iniciales</x:v>
      </x:c>
      <x:c r="F64" s="84" t="str">
        <x:v>Obra</x:v>
      </x:c>
      <x:c r="G64" s="84" t="str">
        <x:v>Estructura</x:v>
      </x:c>
      <x:c r="H64" s="84" t="str">
        <x:v>Constructora / Calculista / Dirección de obra</x:v>
      </x:c>
      <x:c r="I64" s="84" t="str">
        <x:v>Pendiente</x:v>
      </x:c>
      <x:c r="J64" s="84" t="str">
        <x:v>Alta</x:v>
      </x:c>
      <x:c r="K64" s="85" t="str"/>
    </x:row>
    <x:row r="65" ht="36" customHeight="1">
      <x:c r="A65" s="83" t="n">
        <x:v>105</x:v>
      </x:c>
      <x:c r="B65" s="101" t="n">
        <x:v>46447</x:v>
      </x:c>
      <x:c r="C65" s="84" t="str">
        <x:v>Marzo</x:v>
      </x:c>
      <x:c r="D65" s="84" t="n">
        <x:v>2027</x:v>
      </x:c>
      <x:c r="E65" s="84" t="str">
        <x:v>Coordinar calculista, dirección de obra y contratista</x:v>
      </x:c>
      <x:c r="F65" s="84" t="str">
        <x:v>Obra</x:v>
      </x:c>
      <x:c r="G65" s="84" t="str">
        <x:v>Estructura</x:v>
      </x:c>
      <x:c r="H65" s="84" t="str">
        <x:v>Constructora / Calculista / Dirección de obra</x:v>
      </x:c>
      <x:c r="I65" s="84" t="str">
        <x:v>Pendiente</x:v>
      </x:c>
      <x:c r="J65" s="84" t="str">
        <x:v>Alta</x:v>
      </x:c>
      <x:c r="K65" s="85" t="str"/>
    </x:row>
    <x:row r="66" ht="36" customHeight="1">
      <x:c r="A66" s="83" t="n">
        <x:v>107</x:v>
      </x:c>
      <x:c r="B66" s="101" t="n">
        <x:v>46447</x:v>
      </x:c>
      <x:c r="C66" s="84" t="str">
        <x:v>Marzo</x:v>
      </x:c>
      <x:c r="D66" s="84" t="n">
        <x:v>2027</x:v>
      </x:c>
      <x:c r="E66" s="84" t="str">
        <x:v>Ajustar cronograma si hubo demoras por suelo, lluvia o permisos</x:v>
      </x:c>
      <x:c r="F66" s="84" t="str">
        <x:v>Finanzas</x:v>
      </x:c>
      <x:c r="G66" s="84" t="str">
        <x:v>Finanzas</x:v>
      </x:c>
      <x:c r="H66" s="84" t="str">
        <x:v>Socios / Dirección de obra</x:v>
      </x:c>
      <x:c r="I66" s="84" t="str">
        <x:v>Pendiente</x:v>
      </x:c>
      <x:c r="J66" s="84" t="str">
        <x:v>Alta</x:v>
      </x:c>
      <x:c r="K66" s="85" t="str"/>
    </x:row>
    <x:row r="67" ht="36" customHeight="1">
      <x:c r="A67" s="83" t="n">
        <x:v>109</x:v>
      </x:c>
      <x:c r="B67" s="101" t="n">
        <x:v>46478</x:v>
      </x:c>
      <x:c r="C67" s="84" t="str">
        <x:v>Abril</x:v>
      </x:c>
      <x:c r="D67" s="84" t="n">
        <x:v>2027</x:v>
      </x:c>
      <x:c r="E67" s="84" t="str">
        <x:v>Hormigonar planta baja</x:v>
      </x:c>
      <x:c r="F67" s="84" t="str">
        <x:v>Obra</x:v>
      </x:c>
      <x:c r="G67" s="84" t="str">
        <x:v>Estructura</x:v>
      </x:c>
      <x:c r="H67" s="84" t="str">
        <x:v>Constructora</x:v>
      </x:c>
      <x:c r="I67" s="84" t="str">
        <x:v>Pendiente</x:v>
      </x:c>
      <x:c r="J67" s="84" t="str">
        <x:v>Alta</x:v>
      </x:c>
      <x:c r="K67" s="85" t="str"/>
    </x:row>
    <x:row r="68" ht="36" customHeight="1">
      <x:c r="A68" s="83" t="n">
        <x:v>110</x:v>
      </x:c>
      <x:c r="B68" s="101" t="n">
        <x:v>46478</x:v>
      </x:c>
      <x:c r="C68" s="84" t="str">
        <x:v>Abril</x:v>
      </x:c>
      <x:c r="D68" s="84" t="n">
        <x:v>2027</x:v>
      </x:c>
      <x:c r="E68" s="84" t="str">
        <x:v>Iniciar estructura del primer piso</x:v>
      </x:c>
      <x:c r="F68" s="84" t="str">
        <x:v>Obra</x:v>
      </x:c>
      <x:c r="G68" s="84" t="str">
        <x:v>Estructura</x:v>
      </x:c>
      <x:c r="H68" s="84" t="str">
        <x:v>Constructora</x:v>
      </x:c>
      <x:c r="I68" s="84" t="str">
        <x:v>Pendiente</x:v>
      </x:c>
      <x:c r="J68" s="84" t="str">
        <x:v>Alta</x:v>
      </x:c>
      <x:c r="K68" s="85" t="str"/>
    </x:row>
    <x:row r="69" ht="36" customHeight="1">
      <x:c r="A69" s="83" t="n">
        <x:v>111</x:v>
      </x:c>
      <x:c r="B69" s="101" t="n">
        <x:v>46478</x:v>
      </x:c>
      <x:c r="C69" s="84" t="str">
        <x:v>Abril</x:v>
      </x:c>
      <x:c r="D69" s="84" t="n">
        <x:v>2027</x:v>
      </x:c>
      <x:c r="E69" s="84" t="str">
        <x:v>Coordinar pases para instalaciones</x:v>
      </x:c>
      <x:c r="F69" s="84" t="str">
        <x:v>Obra</x:v>
      </x:c>
      <x:c r="G69" s="84" t="str">
        <x:v>Estructura</x:v>
      </x:c>
      <x:c r="H69" s="84" t="str">
        <x:v>Constructora</x:v>
      </x:c>
      <x:c r="I69" s="84" t="str">
        <x:v>Pendiente</x:v>
      </x:c>
      <x:c r="J69" s="84" t="str">
        <x:v>Alta</x:v>
      </x:c>
      <x:c r="K69" s="85" t="str"/>
    </x:row>
    <x:row r="70" ht="36" customHeight="1">
      <x:c r="A70" s="83" t="n">
        <x:v>112</x:v>
      </x:c>
      <x:c r="B70" s="101" t="n">
        <x:v>46478</x:v>
      </x:c>
      <x:c r="C70" s="84" t="str">
        <x:v>Abril</x:v>
      </x:c>
      <x:c r="D70" s="84" t="n">
        <x:v>2027</x:v>
      </x:c>
      <x:c r="E70" s="84" t="str">
        <x:v>Comprar o reservar materiales críticos</x:v>
      </x:c>
      <x:c r="F70" s="84" t="str">
        <x:v>Obra</x:v>
      </x:c>
      <x:c r="G70" s="84" t="str">
        <x:v>Compras / Proveedores</x:v>
      </x:c>
      <x:c r="H70" s="84" t="str">
        <x:v>Constructora / Socios</x:v>
      </x:c>
      <x:c r="I70" s="84" t="str">
        <x:v>Pendiente</x:v>
      </x:c>
      <x:c r="J70" s="84" t="str">
        <x:v>Alta</x:v>
      </x:c>
      <x:c r="K70" s="85" t="str"/>
    </x:row>
    <x:row r="71" ht="36" customHeight="1">
      <x:c r="A71" s="83" t="n">
        <x:v>119</x:v>
      </x:c>
      <x:c r="B71" s="101" t="n">
        <x:v>46508</x:v>
      </x:c>
      <x:c r="C71" s="84" t="str">
        <x:v>Mayo</x:v>
      </x:c>
      <x:c r="D71" s="84" t="n">
        <x:v>2027</x:v>
      </x:c>
      <x:c r="E71" s="84" t="str">
        <x:v>Ejecutar estructura del primer piso</x:v>
      </x:c>
      <x:c r="F71" s="84" t="str">
        <x:v>Obra</x:v>
      </x:c>
      <x:c r="G71" s="84" t="str">
        <x:v>Estructura</x:v>
      </x:c>
      <x:c r="H71" s="84" t="str">
        <x:v>Constructora / Dirección de obra</x:v>
      </x:c>
      <x:c r="I71" s="84" t="str">
        <x:v>Pendiente</x:v>
      </x:c>
      <x:c r="J71" s="84" t="str">
        <x:v>Alta</x:v>
      </x:c>
      <x:c r="K71" s="85" t="str"/>
    </x:row>
    <x:row r="72" ht="36" customHeight="1">
      <x:c r="A72" s="83" t="n">
        <x:v>120</x:v>
      </x:c>
      <x:c r="B72" s="101" t="n">
        <x:v>46508</x:v>
      </x:c>
      <x:c r="C72" s="84" t="str">
        <x:v>Mayo</x:v>
      </x:c>
      <x:c r="D72" s="84" t="n">
        <x:v>2027</x:v>
      </x:c>
      <x:c r="E72" s="84" t="str">
        <x:v>Iniciar estructura del segundo piso</x:v>
      </x:c>
      <x:c r="F72" s="84" t="str">
        <x:v>Obra</x:v>
      </x:c>
      <x:c r="G72" s="84" t="str">
        <x:v>Estructura</x:v>
      </x:c>
      <x:c r="H72" s="84" t="str">
        <x:v>Constructora / Dirección de obra</x:v>
      </x:c>
      <x:c r="I72" s="84" t="str">
        <x:v>Pendiente</x:v>
      </x:c>
      <x:c r="J72" s="84" t="str">
        <x:v>Alta</x:v>
      </x:c>
      <x:c r="K72" s="85" t="str"/>
    </x:row>
    <x:row r="73" ht="36" customHeight="1">
      <x:c r="A73" s="83" t="n">
        <x:v>121</x:v>
      </x:c>
      <x:c r="B73" s="101" t="n">
        <x:v>46508</x:v>
      </x:c>
      <x:c r="C73" s="84" t="str">
        <x:v>Mayo</x:v>
      </x:c>
      <x:c r="D73" s="84" t="n">
        <x:v>2027</x:v>
      </x:c>
      <x:c r="E73" s="84" t="str">
        <x:v>Continuar hormigonado</x:v>
      </x:c>
      <x:c r="F73" s="84" t="str">
        <x:v>Obra</x:v>
      </x:c>
      <x:c r="G73" s="84" t="str">
        <x:v>Estructura</x:v>
      </x:c>
      <x:c r="H73" s="84" t="str">
        <x:v>Constructora / Dirección de obra</x:v>
      </x:c>
      <x:c r="I73" s="84" t="str">
        <x:v>Pendiente</x:v>
      </x:c>
      <x:c r="J73" s="84" t="str">
        <x:v>Alta</x:v>
      </x:c>
      <x:c r="K73" s="85" t="str"/>
    </x:row>
    <x:row r="74" ht="36" customHeight="1">
      <x:c r="A74" s="83" t="n">
        <x:v>122</x:v>
      </x:c>
      <x:c r="B74" s="101" t="n">
        <x:v>46508</x:v>
      </x:c>
      <x:c r="C74" s="84" t="str">
        <x:v>Mayo</x:v>
      </x:c>
      <x:c r="D74" s="84" t="n">
        <x:v>2027</x:v>
      </x:c>
      <x:c r="E74" s="84" t="str">
        <x:v>Coordinar instalaciones embutidas</x:v>
      </x:c>
      <x:c r="F74" s="84" t="str">
        <x:v>Obra</x:v>
      </x:c>
      <x:c r="G74" s="84" t="str">
        <x:v>Estructura</x:v>
      </x:c>
      <x:c r="H74" s="84" t="str">
        <x:v>Constructora / Dirección de obra</x:v>
      </x:c>
      <x:c r="I74" s="84" t="str">
        <x:v>Pendiente</x:v>
      </x:c>
      <x:c r="J74" s="84" t="str">
        <x:v>Alta</x:v>
      </x:c>
      <x:c r="K74" s="85" t="str"/>
    </x:row>
    <x:row r="75" ht="36" customHeight="1">
      <x:c r="A75" s="83" t="n">
        <x:v>123</x:v>
      </x:c>
      <x:c r="B75" s="101" t="n">
        <x:v>46508</x:v>
      </x:c>
      <x:c r="C75" s="84" t="str">
        <x:v>Mayo</x:v>
      </x:c>
      <x:c r="D75" s="84" t="n">
        <x:v>2027</x:v>
      </x:c>
      <x:c r="E75" s="84" t="str">
        <x:v>Verificar medidas reales de unidades</x:v>
      </x:c>
      <x:c r="F75" s="84" t="str">
        <x:v>Obra</x:v>
      </x:c>
      <x:c r="G75" s="84" t="str">
        <x:v>Estructura</x:v>
      </x:c>
      <x:c r="H75" s="84" t="str">
        <x:v>Constructora / Dirección de obra</x:v>
      </x:c>
      <x:c r="I75" s="84" t="str">
        <x:v>Pendiente</x:v>
      </x:c>
      <x:c r="J75" s="84" t="str">
        <x:v>Alta</x:v>
      </x:c>
      <x:c r="K75" s="85" t="str"/>
    </x:row>
    <x:row r="76" ht="36" customHeight="1">
      <x:c r="A76" s="83" t="n">
        <x:v>124</x:v>
      </x:c>
      <x:c r="B76" s="101" t="n">
        <x:v>46508</x:v>
      </x:c>
      <x:c r="C76" s="84" t="str">
        <x:v>Mayo</x:v>
      </x:c>
      <x:c r="D76" s="84" t="n">
        <x:v>2027</x:v>
      </x:c>
      <x:c r="E76" s="84" t="str">
        <x:v>Ajustar proyecto ejecutivo en detalles menores</x:v>
      </x:c>
      <x:c r="F76" s="84" t="str">
        <x:v>Obra</x:v>
      </x:c>
      <x:c r="G76" s="84" t="str">
        <x:v>Estructura</x:v>
      </x:c>
      <x:c r="H76" s="84" t="str">
        <x:v>Constructora / Dirección de obra</x:v>
      </x:c>
      <x:c r="I76" s="84" t="str">
        <x:v>Pendiente</x:v>
      </x:c>
      <x:c r="J76" s="84" t="str">
        <x:v>Alta</x:v>
      </x:c>
      <x:c r="K76" s="85" t="str"/>
    </x:row>
    <x:row r="77" ht="36" customHeight="1">
      <x:c r="A77" s="83" t="n">
        <x:v>125</x:v>
      </x:c>
      <x:c r="B77" s="101" t="n">
        <x:v>46508</x:v>
      </x:c>
      <x:c r="C77" s="84" t="str">
        <x:v>Mayo</x:v>
      </x:c>
      <x:c r="D77" s="84" t="n">
        <x:v>2027</x:v>
      </x:c>
      <x:c r="E77" s="84" t="str">
        <x:v>Seguir costos de hierro, hormigón y mano de obra</x:v>
      </x:c>
      <x:c r="F77" s="84" t="str">
        <x:v>Finanzas</x:v>
      </x:c>
      <x:c r="G77" s="84" t="str">
        <x:v>Finanzas</x:v>
      </x:c>
      <x:c r="H77" s="84" t="str">
        <x:v>Socios / Dirección de obra</x:v>
      </x:c>
      <x:c r="I77" s="84" t="str">
        <x:v>Pendiente</x:v>
      </x:c>
      <x:c r="J77" s="84" t="str">
        <x:v>Alta</x:v>
      </x:c>
      <x:c r="K77" s="85" t="str"/>
    </x:row>
    <x:row r="78" ht="36" customHeight="1">
      <x:c r="A78" s="83" t="n">
        <x:v>126</x:v>
      </x:c>
      <x:c r="B78" s="101" t="n">
        <x:v>46508</x:v>
      </x:c>
      <x:c r="C78" s="84" t="str">
        <x:v>Mayo</x:v>
      </x:c>
      <x:c r="D78" s="84" t="n">
        <x:v>2027</x:v>
      </x:c>
      <x:c r="E78" s="84" t="str">
        <x:v>Continuar preventa activa</x:v>
      </x:c>
      <x:c r="F78" s="84" t="str">
        <x:v>Comercial</x:v>
      </x:c>
      <x:c r="G78" s="84" t="str">
        <x:v>Marketing / Ventas</x:v>
      </x:c>
      <x:c r="H78" s="84" t="str">
        <x:v>Comercial</x:v>
      </x:c>
      <x:c r="I78" s="84" t="str">
        <x:v>Pendiente</x:v>
      </x:c>
      <x:c r="J78" s="84" t="str">
        <x:v>Media</x:v>
      </x:c>
      <x:c r="K78" s="85" t="str"/>
    </x:row>
    <x:row r="79" ht="36" customHeight="1">
      <x:c r="A79" s="83" t="n">
        <x:v>127</x:v>
      </x:c>
      <x:c r="B79" s="101" t="n">
        <x:v>46508</x:v>
      </x:c>
      <x:c r="C79" s="84" t="str">
        <x:v>Mayo</x:v>
      </x:c>
      <x:c r="D79" s="84" t="n">
        <x:v>2027</x:v>
      </x:c>
      <x:c r="E79" s="84" t="str">
        <x:v>Evaluar actualización de precios por avance de obra</x:v>
      </x:c>
      <x:c r="F79" s="84" t="str">
        <x:v>Comercial</x:v>
      </x:c>
      <x:c r="G79" s="84" t="str">
        <x:v>Marketing / Ventas</x:v>
      </x:c>
      <x:c r="H79" s="84" t="str">
        <x:v>Comercial</x:v>
      </x:c>
      <x:c r="I79" s="84" t="str">
        <x:v>Pendiente</x:v>
      </x:c>
      <x:c r="J79" s="84" t="str">
        <x:v>Media</x:v>
      </x:c>
      <x:c r="K79" s="85" t="str"/>
    </x:row>
    <x:row r="80" ht="36" customHeight="1">
      <x:c r="A80" s="83" t="n">
        <x:v>128</x:v>
      </x:c>
      <x:c r="B80" s="101" t="n">
        <x:v>46539</x:v>
      </x:c>
      <x:c r="C80" s="84" t="str">
        <x:v>Junio</x:v>
      </x:c>
      <x:c r="D80" s="84" t="n">
        <x:v>2027</x:v>
      </x:c>
      <x:c r="E80" s="84" t="str">
        <x:v>Ejecutar estructura del segundo piso</x:v>
      </x:c>
      <x:c r="F80" s="84" t="str">
        <x:v>Obra</x:v>
      </x:c>
      <x:c r="G80" s="84" t="str">
        <x:v>Estructura</x:v>
      </x:c>
      <x:c r="H80" s="84" t="str">
        <x:v>Constructora</x:v>
      </x:c>
      <x:c r="I80" s="84" t="str">
        <x:v>Pendiente</x:v>
      </x:c>
      <x:c r="J80" s="84" t="str">
        <x:v>Alta</x:v>
      </x:c>
      <x:c r="K80" s="85" t="str"/>
    </x:row>
    <x:row r="81" ht="36" customHeight="1">
      <x:c r="A81" s="83" t="n">
        <x:v>129</x:v>
      </x:c>
      <x:c r="B81" s="101" t="n">
        <x:v>46539</x:v>
      </x:c>
      <x:c r="C81" s="84" t="str">
        <x:v>Junio</x:v>
      </x:c>
      <x:c r="D81" s="84" t="n">
        <x:v>2027</x:v>
      </x:c>
      <x:c r="E81" s="84" t="str">
        <x:v>Iniciar estructura del tercer piso</x:v>
      </x:c>
      <x:c r="F81" s="84" t="str">
        <x:v>Obra</x:v>
      </x:c>
      <x:c r="G81" s="84" t="str">
        <x:v>Estructura</x:v>
      </x:c>
      <x:c r="H81" s="84" t="str">
        <x:v>Constructora</x:v>
      </x:c>
      <x:c r="I81" s="84" t="str">
        <x:v>Pendiente</x:v>
      </x:c>
      <x:c r="J81" s="84" t="str">
        <x:v>Alta</x:v>
      </x:c>
      <x:c r="K81" s="85" t="str"/>
    </x:row>
    <x:row r="82" ht="36" customHeight="1">
      <x:c r="A82" s="83" t="n">
        <x:v>130</x:v>
      </x:c>
      <x:c r="B82" s="101" t="n">
        <x:v>46539</x:v>
      </x:c>
      <x:c r="C82" s="84" t="str">
        <x:v>Junio</x:v>
      </x:c>
      <x:c r="D82" s="84" t="n">
        <x:v>2027</x:v>
      </x:c>
      <x:c r="E82" s="84" t="str">
        <x:v>Planificar compra de materiales para albañilería</x:v>
      </x:c>
      <x:c r="F82" s="84" t="str">
        <x:v>Obra</x:v>
      </x:c>
      <x:c r="G82" s="84" t="str">
        <x:v>Compras / Proveedores</x:v>
      </x:c>
      <x:c r="H82" s="84" t="str">
        <x:v>Socios / Dirección de obra / Rodrigo</x:v>
      </x:c>
      <x:c r="I82" s="84" t="str">
        <x:v>Pendiente</x:v>
      </x:c>
      <x:c r="J82" s="84" t="str">
        <x:v>Alta</x:v>
      </x:c>
      <x:c r="K82" s="85" t="str"/>
    </x:row>
    <x:row r="83" ht="36" customHeight="1">
      <x:c r="A83" s="83" t="n">
        <x:v>131</x:v>
      </x:c>
      <x:c r="B83" s="101" t="n">
        <x:v>46539</x:v>
      </x:c>
      <x:c r="C83" s="84" t="str">
        <x:v>Junio</x:v>
      </x:c>
      <x:c r="D83" s="84" t="n">
        <x:v>2027</x:v>
      </x:c>
      <x:c r="E83" s="84" t="str">
        <x:v>Definir aberturas</x:v>
      </x:c>
      <x:c r="F83" s="84" t="str">
        <x:v>Obra</x:v>
      </x:c>
      <x:c r="G83" s="84" t="str">
        <x:v>Compras / Proveedores</x:v>
      </x:c>
      <x:c r="H83" s="84" t="str">
        <x:v>Socios / Dirección de obra / Rodrigo</x:v>
      </x:c>
      <x:c r="I83" s="84" t="str">
        <x:v>Pendiente</x:v>
      </x:c>
      <x:c r="J83" s="84" t="str">
        <x:v>Alta</x:v>
      </x:c>
      <x:c r="K83" s="85" t="str"/>
    </x:row>
    <x:row r="84" ht="36" customHeight="1">
      <x:c r="A84" s="83" t="n">
        <x:v>132</x:v>
      </x:c>
      <x:c r="B84" s="101" t="n">
        <x:v>46539</x:v>
      </x:c>
      <x:c r="C84" s="84" t="str">
        <x:v>Junio</x:v>
      </x:c>
      <x:c r="D84" s="84" t="n">
        <x:v>2027</x:v>
      </x:c>
      <x:c r="E84" s="84" t="str">
        <x:v>Definir carpinterías</x:v>
      </x:c>
      <x:c r="F84" s="84" t="str">
        <x:v>Obra</x:v>
      </x:c>
      <x:c r="G84" s="84" t="str">
        <x:v>Compras / Proveedores</x:v>
      </x:c>
      <x:c r="H84" s="84" t="str">
        <x:v>Socios / Dirección de obra / Rodrigo</x:v>
      </x:c>
      <x:c r="I84" s="84" t="str">
        <x:v>Pendiente</x:v>
      </x:c>
      <x:c r="J84" s="84" t="str">
        <x:v>Alta</x:v>
      </x:c>
      <x:c r="K84" s="85" t="str"/>
    </x:row>
    <x:row r="85" ht="36" customHeight="1">
      <x:c r="A85" s="83" t="n">
        <x:v>133</x:v>
      </x:c>
      <x:c r="B85" s="101" t="n">
        <x:v>46539</x:v>
      </x:c>
      <x:c r="C85" s="84" t="str">
        <x:v>Junio</x:v>
      </x:c>
      <x:c r="D85" s="84" t="n">
        <x:v>2027</x:v>
      </x:c>
      <x:c r="E85" s="84" t="str">
        <x:v>Definir revestimientos</x:v>
      </x:c>
      <x:c r="F85" s="84" t="str">
        <x:v>Obra</x:v>
      </x:c>
      <x:c r="G85" s="84" t="str">
        <x:v>Compras / Proveedores</x:v>
      </x:c>
      <x:c r="H85" s="84" t="str">
        <x:v>Socios / Dirección de obra / Rodrigo</x:v>
      </x:c>
      <x:c r="I85" s="84" t="str">
        <x:v>Pendiente</x:v>
      </x:c>
      <x:c r="J85" s="84" t="str">
        <x:v>Alta</x:v>
      </x:c>
      <x:c r="K85" s="85" t="str"/>
    </x:row>
    <x:row r="86" ht="36" customHeight="1">
      <x:c r="A86" s="83" t="n">
        <x:v>134</x:v>
      </x:c>
      <x:c r="B86" s="101" t="n">
        <x:v>46539</x:v>
      </x:c>
      <x:c r="C86" s="84" t="str">
        <x:v>Junio</x:v>
      </x:c>
      <x:c r="D86" s="84" t="n">
        <x:v>2027</x:v>
      </x:c>
      <x:c r="E86" s="84" t="str">
        <x:v>Definir pisos</x:v>
      </x:c>
      <x:c r="F86" s="84" t="str">
        <x:v>Obra</x:v>
      </x:c>
      <x:c r="G86" s="84" t="str">
        <x:v>Compras / Proveedores</x:v>
      </x:c>
      <x:c r="H86" s="84" t="str">
        <x:v>Socios / Dirección de obra / Rodrigo</x:v>
      </x:c>
      <x:c r="I86" s="84" t="str">
        <x:v>Pendiente</x:v>
      </x:c>
      <x:c r="J86" s="84" t="str">
        <x:v>Alta</x:v>
      </x:c>
      <x:c r="K86" s="85" t="str"/>
    </x:row>
    <x:row r="87" ht="36" customHeight="1">
      <x:c r="A87" s="83" t="n">
        <x:v>135</x:v>
      </x:c>
      <x:c r="B87" s="101" t="n">
        <x:v>46539</x:v>
      </x:c>
      <x:c r="C87" s="84" t="str">
        <x:v>Junio</x:v>
      </x:c>
      <x:c r="D87" s="84" t="n">
        <x:v>2027</x:v>
      </x:c>
      <x:c r="E87" s="84" t="str">
        <x:v>Definir griferías</x:v>
      </x:c>
      <x:c r="F87" s="84" t="str">
        <x:v>Obra</x:v>
      </x:c>
      <x:c r="G87" s="84" t="str">
        <x:v>Compras / Proveedores</x:v>
      </x:c>
      <x:c r="H87" s="84" t="str">
        <x:v>Socios / Dirección de obra / Rodrigo</x:v>
      </x:c>
      <x:c r="I87" s="84" t="str">
        <x:v>Pendiente</x:v>
      </x:c>
      <x:c r="J87" s="84" t="str">
        <x:v>Alta</x:v>
      </x:c>
      <x:c r="K87" s="85" t="str"/>
    </x:row>
    <x:row r="88" ht="36" customHeight="1">
      <x:c r="A88" s="83" t="n">
        <x:v>136</x:v>
      </x:c>
      <x:c r="B88" s="101" t="n">
        <x:v>46539</x:v>
      </x:c>
      <x:c r="C88" s="84" t="str">
        <x:v>Junio</x:v>
      </x:c>
      <x:c r="D88" s="84" t="n">
        <x:v>2027</x:v>
      </x:c>
      <x:c r="E88" s="84" t="str">
        <x:v>Definir artefactos</x:v>
      </x:c>
      <x:c r="F88" s="84" t="str">
        <x:v>Obra</x:v>
      </x:c>
      <x:c r="G88" s="84" t="str">
        <x:v>Compras / Proveedores</x:v>
      </x:c>
      <x:c r="H88" s="84" t="str">
        <x:v>Socios / Dirección de obra / Rodrigo</x:v>
      </x:c>
      <x:c r="I88" s="84" t="str">
        <x:v>Pendiente</x:v>
      </x:c>
      <x:c r="J88" s="84" t="str">
        <x:v>Alta</x:v>
      </x:c>
      <x:c r="K88" s="85" t="str"/>
    </x:row>
    <x:row r="89" ht="36" customHeight="1">
      <x:c r="A89" s="83" t="n">
        <x:v>140</x:v>
      </x:c>
      <x:c r="B89" s="101" t="n">
        <x:v>46569</x:v>
      </x:c>
      <x:c r="C89" s="84" t="str">
        <x:v>Julio</x:v>
      </x:c>
      <x:c r="D89" s="84" t="n">
        <x:v>2027</x:v>
      </x:c>
      <x:c r="E89" s="84" t="str">
        <x:v>Ejecutar estructura del tercer piso</x:v>
      </x:c>
      <x:c r="F89" s="84" t="str">
        <x:v>Obra</x:v>
      </x:c>
      <x:c r="G89" s="84" t="str">
        <x:v>Estructura</x:v>
      </x:c>
      <x:c r="H89" s="84" t="str">
        <x:v>Constructora</x:v>
      </x:c>
      <x:c r="I89" s="84" t="str">
        <x:v>Pendiente</x:v>
      </x:c>
      <x:c r="J89" s="84" t="str">
        <x:v>Alta</x:v>
      </x:c>
      <x:c r="K89" s="85" t="str"/>
    </x:row>
    <x:row r="90" ht="36" customHeight="1">
      <x:c r="A90" s="83" t="n">
        <x:v>141</x:v>
      </x:c>
      <x:c r="B90" s="101" t="n">
        <x:v>46569</x:v>
      </x:c>
      <x:c r="C90" s="84" t="str">
        <x:v>Julio</x:v>
      </x:c>
      <x:c r="D90" s="84" t="n">
        <x:v>2027</x:v>
      </x:c>
      <x:c r="E90" s="84" t="str">
        <x:v>Iniciar estructura del cuarto piso</x:v>
      </x:c>
      <x:c r="F90" s="84" t="str">
        <x:v>Obra</x:v>
      </x:c>
      <x:c r="G90" s="84" t="str">
        <x:v>Estructura</x:v>
      </x:c>
      <x:c r="H90" s="84" t="str">
        <x:v>Constructora</x:v>
      </x:c>
      <x:c r="I90" s="84" t="str">
        <x:v>Pendiente</x:v>
      </x:c>
      <x:c r="J90" s="84" t="str">
        <x:v>Alta</x:v>
      </x:c>
      <x:c r="K90" s="85" t="str"/>
    </x:row>
    <x:row r="91" ht="36" customHeight="1">
      <x:c r="A91" s="83" t="n">
        <x:v>142</x:v>
      </x:c>
      <x:c r="B91" s="101" t="n">
        <x:v>46569</x:v>
      </x:c>
      <x:c r="C91" s="84" t="str">
        <x:v>Julio</x:v>
      </x:c>
      <x:c r="D91" s="84" t="n">
        <x:v>2027</x:v>
      </x:c>
      <x:c r="E91" s="84" t="str">
        <x:v>Avanzar instalaciones troncales en sectores liberados</x:v>
      </x:c>
      <x:c r="F91" s="84" t="str">
        <x:v>Obra</x:v>
      </x:c>
      <x:c r="G91" s="84" t="str">
        <x:v>Instalaciones</x:v>
      </x:c>
      <x:c r="H91" s="84" t="str">
        <x:v>Constructora / Instaladores</x:v>
      </x:c>
      <x:c r="I91" s="84" t="str">
        <x:v>Pendiente</x:v>
      </x:c>
      <x:c r="J91" s="84" t="str">
        <x:v>Alta</x:v>
      </x:c>
      <x:c r="K91" s="85" t="str"/>
    </x:row>
    <x:row r="92" ht="36" customHeight="1">
      <x:c r="A92" s="83" t="n">
        <x:v>143</x:v>
      </x:c>
      <x:c r="B92" s="101" t="n">
        <x:v>46569</x:v>
      </x:c>
      <x:c r="C92" s="84" t="str">
        <x:v>Julio</x:v>
      </x:c>
      <x:c r="D92" s="84" t="n">
        <x:v>2027</x:v>
      </x:c>
      <x:c r="E92" s="84" t="str">
        <x:v>Planificar albañilería</x:v>
      </x:c>
      <x:c r="F92" s="84" t="str">
        <x:v>Obra</x:v>
      </x:c>
      <x:c r="G92" s="84" t="str">
        <x:v>Albañilería</x:v>
      </x:c>
      <x:c r="H92" s="84" t="str">
        <x:v>Constructora / Socios</x:v>
      </x:c>
      <x:c r="I92" s="84" t="str">
        <x:v>Pendiente</x:v>
      </x:c>
      <x:c r="J92" s="84" t="str">
        <x:v>Alta</x:v>
      </x:c>
      <x:c r="K92" s="85" t="str"/>
    </x:row>
    <x:row r="93" ht="36" customHeight="1">
      <x:c r="A93" s="83" t="n">
        <x:v>144</x:v>
      </x:c>
      <x:c r="B93" s="101" t="n">
        <x:v>46569</x:v>
      </x:c>
      <x:c r="C93" s="84" t="str">
        <x:v>Julio</x:v>
      </x:c>
      <x:c r="D93" s="84" t="n">
        <x:v>2027</x:v>
      </x:c>
      <x:c r="E93" s="84" t="str">
        <x:v>Contratar gremios de mampostería</x:v>
      </x:c>
      <x:c r="F93" s="84" t="str">
        <x:v>Obra</x:v>
      </x:c>
      <x:c r="G93" s="84" t="str">
        <x:v>Albañilería</x:v>
      </x:c>
      <x:c r="H93" s="84" t="str">
        <x:v>Constructora / Socios</x:v>
      </x:c>
      <x:c r="I93" s="84" t="str">
        <x:v>Pendiente</x:v>
      </x:c>
      <x:c r="J93" s="84" t="str">
        <x:v>Alta</x:v>
      </x:c>
      <x:c r="K93" s="85" t="str"/>
    </x:row>
    <x:row r="94" ht="36" customHeight="1">
      <x:c r="A94" s="83" t="n">
        <x:v>146</x:v>
      </x:c>
      <x:c r="B94" s="101" t="n">
        <x:v>46569</x:v>
      </x:c>
      <x:c r="C94" s="84" t="str">
        <x:v>Julio</x:v>
      </x:c>
      <x:c r="D94" s="84" t="n">
        <x:v>2027</x:v>
      </x:c>
      <x:c r="E94" s="84" t="str">
        <x:v>Evaluar campaña comercial de mitad de obra</x:v>
      </x:c>
      <x:c r="F94" s="84" t="str">
        <x:v>Comercial</x:v>
      </x:c>
      <x:c r="G94" s="84" t="str">
        <x:v>Marketing / Ventas</x:v>
      </x:c>
      <x:c r="H94" s="84" t="str">
        <x:v>Comercial</x:v>
      </x:c>
      <x:c r="I94" s="84" t="str">
        <x:v>Pendiente</x:v>
      </x:c>
      <x:c r="J94" s="84" t="str">
        <x:v>Media</x:v>
      </x:c>
      <x:c r="K94" s="85" t="str"/>
    </x:row>
    <x:row r="95" ht="36" customHeight="1">
      <x:c r="A95" s="83" t="n">
        <x:v>148</x:v>
      </x:c>
      <x:c r="B95" s="101" t="n">
        <x:v>46600</x:v>
      </x:c>
      <x:c r="C95" s="84" t="str">
        <x:v>Agosto</x:v>
      </x:c>
      <x:c r="D95" s="84" t="n">
        <x:v>2027</x:v>
      </x:c>
      <x:c r="E95" s="84" t="str">
        <x:v>Ejecutar estructura del cuarto piso</x:v>
      </x:c>
      <x:c r="F95" s="84" t="str">
        <x:v>Obra</x:v>
      </x:c>
      <x:c r="G95" s="84" t="str">
        <x:v>Estructura</x:v>
      </x:c>
      <x:c r="H95" s="84" t="str">
        <x:v>Constructora</x:v>
      </x:c>
      <x:c r="I95" s="84" t="str">
        <x:v>Pendiente</x:v>
      </x:c>
      <x:c r="J95" s="84" t="str">
        <x:v>Alta</x:v>
      </x:c>
      <x:c r="K95" s="85" t="str"/>
    </x:row>
    <x:row r="96" ht="36" customHeight="1">
      <x:c r="A96" s="83" t="n">
        <x:v>149</x:v>
      </x:c>
      <x:c r="B96" s="101" t="n">
        <x:v>46600</x:v>
      </x:c>
      <x:c r="C96" s="84" t="str">
        <x:v>Agosto</x:v>
      </x:c>
      <x:c r="D96" s="84" t="n">
        <x:v>2027</x:v>
      </x:c>
      <x:c r="E96" s="84" t="str">
        <x:v>Iniciar pisos superiores o retiros, según proyecto</x:v>
      </x:c>
      <x:c r="F96" s="84" t="str">
        <x:v>Obra</x:v>
      </x:c>
      <x:c r="G96" s="84" t="str">
        <x:v>Estructura</x:v>
      </x:c>
      <x:c r="H96" s="84" t="str">
        <x:v>Constructora</x:v>
      </x:c>
      <x:c r="I96" s="84" t="str">
        <x:v>Pendiente</x:v>
      </x:c>
      <x:c r="J96" s="84" t="str">
        <x:v>Alta</x:v>
      </x:c>
      <x:c r="K96" s="85" t="str"/>
    </x:row>
    <x:row r="97" ht="36" customHeight="1">
      <x:c r="A97" s="83" t="n">
        <x:v>150</x:v>
      </x:c>
      <x:c r="B97" s="101" t="n">
        <x:v>46600</x:v>
      </x:c>
      <x:c r="C97" s="84" t="str">
        <x:v>Agosto</x:v>
      </x:c>
      <x:c r="D97" s="84" t="n">
        <x:v>2027</x:v>
      </x:c>
      <x:c r="E97" s="84" t="str">
        <x:v>Avanzar caja de escaleras y ascensor</x:v>
      </x:c>
      <x:c r="F97" s="84" t="str">
        <x:v>Obra</x:v>
      </x:c>
      <x:c r="G97" s="84" t="str">
        <x:v>Estructura</x:v>
      </x:c>
      <x:c r="H97" s="84" t="str">
        <x:v>Constructora</x:v>
      </x:c>
      <x:c r="I97" s="84" t="str">
        <x:v>Pendiente</x:v>
      </x:c>
      <x:c r="J97" s="84" t="str">
        <x:v>Alta</x:v>
      </x:c>
      <x:c r="K97" s="85" t="str"/>
    </x:row>
    <x:row r="98" ht="36" customHeight="1">
      <x:c r="A98" s="83" t="n">
        <x:v>151</x:v>
      </x:c>
      <x:c r="B98" s="101" t="n">
        <x:v>46600</x:v>
      </x:c>
      <x:c r="C98" s="84" t="str">
        <x:v>Agosto</x:v>
      </x:c>
      <x:c r="D98" s="84" t="n">
        <x:v>2027</x:v>
      </x:c>
      <x:c r="E98" s="84" t="str">
        <x:v>Coordinar con proveedor de ascensor</x:v>
      </x:c>
      <x:c r="F98" s="84" t="str">
        <x:v>Obra</x:v>
      </x:c>
      <x:c r="G98" s="84" t="str">
        <x:v>Ascensor</x:v>
      </x:c>
      <x:c r="H98" s="84" t="str">
        <x:v>Socios / Constructora</x:v>
      </x:c>
      <x:c r="I98" s="84" t="str">
        <x:v>Pendiente</x:v>
      </x:c>
      <x:c r="J98" s="84" t="str">
        <x:v>Alta</x:v>
      </x:c>
      <x:c r="K98" s="85" t="str"/>
    </x:row>
    <x:row r="99" ht="36" customHeight="1">
      <x:c r="A99" s="83" t="n">
        <x:v>152</x:v>
      </x:c>
      <x:c r="B99" s="101" t="n">
        <x:v>46600</x:v>
      </x:c>
      <x:c r="C99" s="84" t="str">
        <x:v>Agosto</x:v>
      </x:c>
      <x:c r="D99" s="84" t="n">
        <x:v>2027</x:v>
      </x:c>
      <x:c r="E99" s="84" t="str">
        <x:v>Iniciar compra o contratación de ascensor</x:v>
      </x:c>
      <x:c r="F99" s="84" t="str">
        <x:v>Obra</x:v>
      </x:c>
      <x:c r="G99" s="84" t="str">
        <x:v>Ascensor</x:v>
      </x:c>
      <x:c r="H99" s="84" t="str">
        <x:v>Socios / Constructora</x:v>
      </x:c>
      <x:c r="I99" s="84" t="str">
        <x:v>Pendiente</x:v>
      </x:c>
      <x:c r="J99" s="84" t="str">
        <x:v>Alta</x:v>
      </x:c>
      <x:c r="K99" s="85" t="str"/>
    </x:row>
    <x:row r="100" ht="36" customHeight="1">
      <x:c r="A100" s="83" t="n">
        <x:v>153</x:v>
      </x:c>
      <x:c r="B100" s="101" t="n">
        <x:v>46600</x:v>
      </x:c>
      <x:c r="C100" s="84" t="str">
        <x:v>Agosto</x:v>
      </x:c>
      <x:c r="D100" s="84" t="n">
        <x:v>2027</x:v>
      </x:c>
      <x:c r="E100" s="84" t="str">
        <x:v>Planificar fachadas</x:v>
      </x:c>
      <x:c r="F100" s="84" t="str">
        <x:v>Obra</x:v>
      </x:c>
      <x:c r="G100" s="84" t="str">
        <x:v>Fachada</x:v>
      </x:c>
      <x:c r="H100" s="84" t="str">
        <x:v>Rodrigo / Constructora</x:v>
      </x:c>
      <x:c r="I100" s="84" t="str">
        <x:v>Pendiente</x:v>
      </x:c>
      <x:c r="J100" s="84" t="str">
        <x:v>Alta</x:v>
      </x:c>
      <x:c r="K100" s="85" t="str"/>
    </x:row>
    <x:row r="101" ht="36" customHeight="1">
      <x:c r="A101" s="83" t="n">
        <x:v>154</x:v>
      </x:c>
      <x:c r="B101" s="101" t="n">
        <x:v>46600</x:v>
      </x:c>
      <x:c r="C101" s="84" t="str">
        <x:v>Agosto</x:v>
      </x:c>
      <x:c r="D101" s="84" t="n">
        <x:v>2027</x:v>
      </x:c>
      <x:c r="E101" s="84" t="str">
        <x:v>Revisar plazos de entrega de materiales largos</x:v>
      </x:c>
      <x:c r="F101" s="84" t="str">
        <x:v>Obra</x:v>
      </x:c>
      <x:c r="G101" s="84" t="str">
        <x:v>Fachada</x:v>
      </x:c>
      <x:c r="H101" s="84" t="str">
        <x:v>Rodrigo / Constructora</x:v>
      </x:c>
      <x:c r="I101" s="84" t="str">
        <x:v>Pendiente</x:v>
      </x:c>
      <x:c r="J101" s="84" t="str">
        <x:v>Alta</x:v>
      </x:c>
      <x:c r="K101" s="85" t="str"/>
    </x:row>
    <x:row r="102" ht="36" customHeight="1">
      <x:c r="A102" s="83" t="n">
        <x:v>155</x:v>
      </x:c>
      <x:c r="B102" s="101" t="n">
        <x:v>46600</x:v>
      </x:c>
      <x:c r="C102" s="84" t="str">
        <x:v>Agosto</x:v>
      </x:c>
      <x:c r="D102" s="84" t="n">
        <x:v>2027</x:v>
      </x:c>
      <x:c r="E102" s="84" t="str">
        <x:v>Comunicar obra gruesa avanzada</x:v>
      </x:c>
      <x:c r="F102" s="84" t="str">
        <x:v>Comercial</x:v>
      </x:c>
      <x:c r="G102" s="84" t="str">
        <x:v>Marketing / Ventas</x:v>
      </x:c>
      <x:c r="H102" s="84" t="str">
        <x:v>Marketing</x:v>
      </x:c>
      <x:c r="I102" s="84" t="str">
        <x:v>Pendiente</x:v>
      </x:c>
      <x:c r="J102" s="84" t="str">
        <x:v>Media</x:v>
      </x:c>
      <x:c r="K102" s="85" t="str"/>
    </x:row>
    <x:row r="103" ht="36" customHeight="1">
      <x:c r="A103" s="83" t="n">
        <x:v>156</x:v>
      </x:c>
      <x:c r="B103" s="101" t="n">
        <x:v>46631</x:v>
      </x:c>
      <x:c r="C103" s="84" t="str">
        <x:v>Septiembre</x:v>
      </x:c>
      <x:c r="D103" s="84" t="n">
        <x:v>2027</x:v>
      </x:c>
      <x:c r="E103" s="84" t="str">
        <x:v>Continuar estructura en pisos superiores</x:v>
      </x:c>
      <x:c r="F103" s="84" t="str">
        <x:v>Obra</x:v>
      </x:c>
      <x:c r="G103" s="84" t="str">
        <x:v>Estructura</x:v>
      </x:c>
      <x:c r="H103" s="84" t="str">
        <x:v>Constructora</x:v>
      </x:c>
      <x:c r="I103" s="84" t="str">
        <x:v>Pendiente</x:v>
      </x:c>
      <x:c r="J103" s="84" t="str">
        <x:v>Alta</x:v>
      </x:c>
      <x:c r="K103" s="85" t="str"/>
    </x:row>
    <x:row r="104" ht="36" customHeight="1">
      <x:c r="A104" s="83" t="n">
        <x:v>157</x:v>
      </x:c>
      <x:c r="B104" s="101" t="n">
        <x:v>46631</x:v>
      </x:c>
      <x:c r="C104" s="84" t="str">
        <x:v>Septiembre</x:v>
      </x:c>
      <x:c r="D104" s="84" t="n">
        <x:v>2027</x:v>
      </x:c>
      <x:c r="E104" s="84" t="str">
        <x:v>Iniciar albañilería en plantas bajas liberadas</x:v>
      </x:c>
      <x:c r="F104" s="84" t="str">
        <x:v>Obra</x:v>
      </x:c>
      <x:c r="G104" s="84" t="str">
        <x:v>Albañilería</x:v>
      </x:c>
      <x:c r="H104" s="84" t="str">
        <x:v>Constructora</x:v>
      </x:c>
      <x:c r="I104" s="84" t="str">
        <x:v>Pendiente</x:v>
      </x:c>
      <x:c r="J104" s="84" t="str">
        <x:v>Alta</x:v>
      </x:c>
      <x:c r="K104" s="85" t="str"/>
    </x:row>
    <x:row r="105" ht="36" customHeight="1">
      <x:c r="A105" s="83" t="n">
        <x:v>158</x:v>
      </x:c>
      <x:c r="B105" s="101" t="n">
        <x:v>46631</x:v>
      </x:c>
      <x:c r="C105" s="84" t="str">
        <x:v>Septiembre</x:v>
      </x:c>
      <x:c r="D105" s="84" t="n">
        <x:v>2027</x:v>
      </x:c>
      <x:c r="E105" s="84" t="str">
        <x:v>Ejecutar mampostería interior</x:v>
      </x:c>
      <x:c r="F105" s="84" t="str">
        <x:v>Obra</x:v>
      </x:c>
      <x:c r="G105" s="84" t="str">
        <x:v>Albañilería</x:v>
      </x:c>
      <x:c r="H105" s="84" t="str">
        <x:v>Constructora</x:v>
      </x:c>
      <x:c r="I105" s="84" t="str">
        <x:v>Pendiente</x:v>
      </x:c>
      <x:c r="J105" s="84" t="str">
        <x:v>Alta</x:v>
      </x:c>
      <x:c r="K105" s="85" t="str"/>
    </x:row>
    <x:row r="106" ht="36" customHeight="1">
      <x:c r="A106" s="83" t="n">
        <x:v>159</x:v>
      </x:c>
      <x:c r="B106" s="101" t="n">
        <x:v>46631</x:v>
      </x:c>
      <x:c r="C106" s="84" t="str">
        <x:v>Septiembre</x:v>
      </x:c>
      <x:c r="D106" s="84" t="n">
        <x:v>2027</x:v>
      </x:c>
      <x:c r="E106" s="84" t="str">
        <x:v>Ejecutar cierres exteriores iniciales</x:v>
      </x:c>
      <x:c r="F106" s="84" t="str">
        <x:v>Obra</x:v>
      </x:c>
      <x:c r="G106" s="84" t="str">
        <x:v>Albañilería</x:v>
      </x:c>
      <x:c r="H106" s="84" t="str">
        <x:v>Constructora</x:v>
      </x:c>
      <x:c r="I106" s="84" t="str">
        <x:v>Pendiente</x:v>
      </x:c>
      <x:c r="J106" s="84" t="str">
        <x:v>Alta</x:v>
      </x:c>
      <x:c r="K106" s="85" t="str"/>
    </x:row>
    <x:row r="107" ht="36" customHeight="1">
      <x:c r="A107" s="83" t="n">
        <x:v>160</x:v>
      </x:c>
      <x:c r="B107" s="101" t="n">
        <x:v>46631</x:v>
      </x:c>
      <x:c r="C107" s="84" t="str">
        <x:v>Septiembre</x:v>
      </x:c>
      <x:c r="D107" s="84" t="n">
        <x:v>2027</x:v>
      </x:c>
      <x:c r="E107" s="84" t="str">
        <x:v>Replantear tabiques internos</x:v>
      </x:c>
      <x:c r="F107" s="84" t="str">
        <x:v>Obra</x:v>
      </x:c>
      <x:c r="G107" s="84" t="str">
        <x:v>Albañilería</x:v>
      </x:c>
      <x:c r="H107" s="84" t="str">
        <x:v>Constructora</x:v>
      </x:c>
      <x:c r="I107" s="84" t="str">
        <x:v>Pendiente</x:v>
      </x:c>
      <x:c r="J107" s="84" t="str">
        <x:v>Alta</x:v>
      </x:c>
      <x:c r="K107" s="85" t="str"/>
    </x:row>
    <x:row r="108" ht="36" customHeight="1">
      <x:c r="A108" s="83" t="n">
        <x:v>161</x:v>
      </x:c>
      <x:c r="B108" s="101" t="n">
        <x:v>46631</x:v>
      </x:c>
      <x:c r="C108" s="84" t="str">
        <x:v>Septiembre</x:v>
      </x:c>
      <x:c r="D108" s="84" t="n">
        <x:v>2027</x:v>
      </x:c>
      <x:c r="E108" s="84" t="str">
        <x:v>Ejecutar instalaciones sanitarias preliminares</x:v>
      </x:c>
      <x:c r="F108" s="84" t="str">
        <x:v>Obra</x:v>
      </x:c>
      <x:c r="G108" s="84" t="str">
        <x:v>Instalaciones</x:v>
      </x:c>
      <x:c r="H108" s="84" t="str">
        <x:v>Instaladores</x:v>
      </x:c>
      <x:c r="I108" s="84" t="str">
        <x:v>Pendiente</x:v>
      </x:c>
      <x:c r="J108" s="84" t="str">
        <x:v>Alta</x:v>
      </x:c>
      <x:c r="K108" s="85" t="str"/>
    </x:row>
    <x:row r="109" ht="36" customHeight="1">
      <x:c r="A109" s="83" t="n">
        <x:v>162</x:v>
      </x:c>
      <x:c r="B109" s="101" t="n">
        <x:v>46631</x:v>
      </x:c>
      <x:c r="C109" s="84" t="str">
        <x:v>Septiembre</x:v>
      </x:c>
      <x:c r="D109" s="84" t="n">
        <x:v>2027</x:v>
      </x:c>
      <x:c r="E109" s="84" t="str">
        <x:v>Ejecutar instalaciones eléctricas preliminares</x:v>
      </x:c>
      <x:c r="F109" s="84" t="str">
        <x:v>Obra</x:v>
      </x:c>
      <x:c r="G109" s="84" t="str">
        <x:v>Instalaciones</x:v>
      </x:c>
      <x:c r="H109" s="84" t="str">
        <x:v>Instaladores</x:v>
      </x:c>
      <x:c r="I109" s="84" t="str">
        <x:v>Pendiente</x:v>
      </x:c>
      <x:c r="J109" s="84" t="str">
        <x:v>Alta</x:v>
      </x:c>
      <x:c r="K109" s="85" t="str"/>
    </x:row>
    <x:row r="110" ht="36" customHeight="1">
      <x:c r="A110" s="83" t="n">
        <x:v>163</x:v>
      </x:c>
      <x:c r="B110" s="101" t="n">
        <x:v>46631</x:v>
      </x:c>
      <x:c r="C110" s="84" t="str">
        <x:v>Septiembre</x:v>
      </x:c>
      <x:c r="D110" s="84" t="n">
        <x:v>2027</x:v>
      </x:c>
      <x:c r="E110" s="84" t="str">
        <x:v>Seguir calidad de ejecución</x:v>
      </x:c>
      <x:c r="F110" s="84" t="str">
        <x:v>Obra</x:v>
      </x:c>
      <x:c r="G110" s="84" t="str">
        <x:v>Control de obra</x:v>
      </x:c>
      <x:c r="H110" s="84" t="str">
        <x:v>Dirección de obra / Socios</x:v>
      </x:c>
      <x:c r="I110" s="84" t="str">
        <x:v>Pendiente</x:v>
      </x:c>
      <x:c r="J110" s="84" t="str">
        <x:v>Alta</x:v>
      </x:c>
      <x:c r="K110" s="85" t="str"/>
    </x:row>
    <x:row r="111" ht="36" customHeight="1">
      <x:c r="A111" s="83" t="n">
        <x:v>164</x:v>
      </x:c>
      <x:c r="B111" s="101" t="n">
        <x:v>46631</x:v>
      </x:c>
      <x:c r="C111" s="84" t="str">
        <x:v>Septiembre</x:v>
      </x:c>
      <x:c r="D111" s="84" t="n">
        <x:v>2027</x:v>
      </x:c>
      <x:c r="E111" s="84" t="str">
        <x:v>Controlar desvíos presupuestarios</x:v>
      </x:c>
      <x:c r="F111" s="84" t="str">
        <x:v>Obra</x:v>
      </x:c>
      <x:c r="G111" s="84" t="str">
        <x:v>Control de obra</x:v>
      </x:c>
      <x:c r="H111" s="84" t="str">
        <x:v>Dirección de obra / Socios</x:v>
      </x:c>
      <x:c r="I111" s="84" t="str">
        <x:v>Pendiente</x:v>
      </x:c>
      <x:c r="J111" s="84" t="str">
        <x:v>Alta</x:v>
      </x:c>
      <x:c r="K111" s="85" t="str"/>
    </x:row>
    <x:row r="112" ht="36" customHeight="1">
      <x:c r="A112" s="83" t="n">
        <x:v>165</x:v>
      </x:c>
      <x:c r="B112" s="101" t="n">
        <x:v>46661</x:v>
      </x:c>
      <x:c r="C112" s="84" t="str">
        <x:v>Octubre</x:v>
      </x:c>
      <x:c r="D112" s="84" t="n">
        <x:v>2027</x:v>
      </x:c>
      <x:c r="E112" s="84" t="str">
        <x:v>Avanzar hacia finalización de estructura principal</x:v>
      </x:c>
      <x:c r="F112" s="84" t="str">
        <x:v>Obra</x:v>
      </x:c>
      <x:c r="G112" s="84" t="str">
        <x:v>Estructura</x:v>
      </x:c>
      <x:c r="H112" s="84" t="str">
        <x:v>Constructora</x:v>
      </x:c>
      <x:c r="I112" s="84" t="str">
        <x:v>Pendiente</x:v>
      </x:c>
      <x:c r="J112" s="84" t="str">
        <x:v>Alta</x:v>
      </x:c>
      <x:c r="K112" s="85" t="str"/>
    </x:row>
    <x:row r="113" ht="36" customHeight="1">
      <x:c r="A113" s="83" t="n">
        <x:v>166</x:v>
      </x:c>
      <x:c r="B113" s="101" t="n">
        <x:v>46661</x:v>
      </x:c>
      <x:c r="C113" s="84" t="str">
        <x:v>Octubre</x:v>
      </x:c>
      <x:c r="D113" s="84" t="n">
        <x:v>2027</x:v>
      </x:c>
      <x:c r="E113" s="84" t="str">
        <x:v>Continuar albañilería</x:v>
      </x:c>
      <x:c r="F113" s="84" t="str">
        <x:v>Obra</x:v>
      </x:c>
      <x:c r="G113" s="84" t="str">
        <x:v>Albañilería</x:v>
      </x:c>
      <x:c r="H113" s="84" t="str">
        <x:v>Constructora</x:v>
      </x:c>
      <x:c r="I113" s="84" t="str">
        <x:v>Pendiente</x:v>
      </x:c>
      <x:c r="J113" s="84" t="str">
        <x:v>Alta</x:v>
      </x:c>
      <x:c r="K113" s="85" t="str"/>
    </x:row>
    <x:row r="114" ht="36" customHeight="1">
      <x:c r="A114" s="83" t="n">
        <x:v>167</x:v>
      </x:c>
      <x:c r="B114" s="101" t="n">
        <x:v>46661</x:v>
      </x:c>
      <x:c r="C114" s="84" t="str">
        <x:v>Octubre</x:v>
      </x:c>
      <x:c r="D114" s="84" t="n">
        <x:v>2027</x:v>
      </x:c>
      <x:c r="E114" s="84" t="str">
        <x:v>Avanzar instalación de agua</x:v>
      </x:c>
      <x:c r="F114" s="84" t="str">
        <x:v>Obra</x:v>
      </x:c>
      <x:c r="G114" s="84" t="str">
        <x:v>Instalaciones</x:v>
      </x:c>
      <x:c r="H114" s="84" t="str">
        <x:v>Instaladores</x:v>
      </x:c>
      <x:c r="I114" s="84" t="str">
        <x:v>Pendiente</x:v>
      </x:c>
      <x:c r="J114" s="84" t="str">
        <x:v>Alta</x:v>
      </x:c>
      <x:c r="K114" s="85" t="str"/>
    </x:row>
    <x:row r="115" ht="36" customHeight="1">
      <x:c r="A115" s="83" t="n">
        <x:v>168</x:v>
      </x:c>
      <x:c r="B115" s="101" t="n">
        <x:v>46661</x:v>
      </x:c>
      <x:c r="C115" s="84" t="str">
        <x:v>Octubre</x:v>
      </x:c>
      <x:c r="D115" s="84" t="n">
        <x:v>2027</x:v>
      </x:c>
      <x:c r="E115" s="84" t="str">
        <x:v>Avanzar instalación cloacal</x:v>
      </x:c>
      <x:c r="F115" s="84" t="str">
        <x:v>Obra</x:v>
      </x:c>
      <x:c r="G115" s="84" t="str">
        <x:v>Instalaciones</x:v>
      </x:c>
      <x:c r="H115" s="84" t="str">
        <x:v>Instaladores</x:v>
      </x:c>
      <x:c r="I115" s="84" t="str">
        <x:v>Pendiente</x:v>
      </x:c>
      <x:c r="J115" s="84" t="str">
        <x:v>Alta</x:v>
      </x:c>
      <x:c r="K115" s="85" t="str"/>
    </x:row>
    <x:row r="116" ht="36" customHeight="1">
      <x:c r="A116" s="83" t="n">
        <x:v>169</x:v>
      </x:c>
      <x:c r="B116" s="101" t="n">
        <x:v>46661</x:v>
      </x:c>
      <x:c r="C116" s="84" t="str">
        <x:v>Octubre</x:v>
      </x:c>
      <x:c r="D116" s="84" t="n">
        <x:v>2027</x:v>
      </x:c>
      <x:c r="E116" s="84" t="str">
        <x:v>Avanzar instalación pluvial</x:v>
      </x:c>
      <x:c r="F116" s="84" t="str">
        <x:v>Obra</x:v>
      </x:c>
      <x:c r="G116" s="84" t="str">
        <x:v>Instalaciones</x:v>
      </x:c>
      <x:c r="H116" s="84" t="str">
        <x:v>Instaladores</x:v>
      </x:c>
      <x:c r="I116" s="84" t="str">
        <x:v>Pendiente</x:v>
      </x:c>
      <x:c r="J116" s="84" t="str">
        <x:v>Alta</x:v>
      </x:c>
      <x:c r="K116" s="85" t="str"/>
    </x:row>
    <x:row r="117" ht="36" customHeight="1">
      <x:c r="A117" s="83" t="n">
        <x:v>170</x:v>
      </x:c>
      <x:c r="B117" s="101" t="n">
        <x:v>46661</x:v>
      </x:c>
      <x:c r="C117" s="84" t="str">
        <x:v>Octubre</x:v>
      </x:c>
      <x:c r="D117" s="84" t="n">
        <x:v>2027</x:v>
      </x:c>
      <x:c r="E117" s="84" t="str">
        <x:v>Avanzar instalación eléctrica</x:v>
      </x:c>
      <x:c r="F117" s="84" t="str">
        <x:v>Obra</x:v>
      </x:c>
      <x:c r="G117" s="84" t="str">
        <x:v>Instalaciones</x:v>
      </x:c>
      <x:c r="H117" s="84" t="str">
        <x:v>Instaladores</x:v>
      </x:c>
      <x:c r="I117" s="84" t="str">
        <x:v>Pendiente</x:v>
      </x:c>
      <x:c r="J117" s="84" t="str">
        <x:v>Alta</x:v>
      </x:c>
      <x:c r="K117" s="85" t="str"/>
    </x:row>
    <x:row r="118" ht="36" customHeight="1">
      <x:c r="A118" s="83" t="n">
        <x:v>171</x:v>
      </x:c>
      <x:c r="B118" s="101" t="n">
        <x:v>46661</x:v>
      </x:c>
      <x:c r="C118" s="84" t="str">
        <x:v>Octubre</x:v>
      </x:c>
      <x:c r="D118" s="84" t="n">
        <x:v>2027</x:v>
      </x:c>
      <x:c r="E118" s="84" t="str">
        <x:v>Avanzar corrientes débiles</x:v>
      </x:c>
      <x:c r="F118" s="84" t="str">
        <x:v>Obra</x:v>
      </x:c>
      <x:c r="G118" s="84" t="str">
        <x:v>Instalaciones</x:v>
      </x:c>
      <x:c r="H118" s="84" t="str">
        <x:v>Instaladores</x:v>
      </x:c>
      <x:c r="I118" s="84" t="str">
        <x:v>Pendiente</x:v>
      </x:c>
      <x:c r="J118" s="84" t="str">
        <x:v>Alta</x:v>
      </x:c>
      <x:c r="K118" s="85" t="str"/>
    </x:row>
    <x:row r="119" ht="36" customHeight="1">
      <x:c r="A119" s="83" t="n">
        <x:v>172</x:v>
      </x:c>
      <x:c r="B119" s="101" t="n">
        <x:v>46661</x:v>
      </x:c>
      <x:c r="C119" s="84" t="str">
        <x:v>Octubre</x:v>
      </x:c>
      <x:c r="D119" s="84" t="n">
        <x:v>2027</x:v>
      </x:c>
      <x:c r="E119" s="84" t="str">
        <x:v>Avanzar gas si aplica</x:v>
      </x:c>
      <x:c r="F119" s="84" t="str">
        <x:v>Obra</x:v>
      </x:c>
      <x:c r="G119" s="84" t="str">
        <x:v>Instalaciones</x:v>
      </x:c>
      <x:c r="H119" s="84" t="str">
        <x:v>Instaladores</x:v>
      </x:c>
      <x:c r="I119" s="84" t="str">
        <x:v>Pendiente</x:v>
      </x:c>
      <x:c r="J119" s="84" t="str">
        <x:v>Alta</x:v>
      </x:c>
      <x:c r="K119" s="85" t="str"/>
    </x:row>
    <x:row r="120" ht="36" customHeight="1">
      <x:c r="A120" s="83" t="n">
        <x:v>173</x:v>
      </x:c>
      <x:c r="B120" s="101" t="n">
        <x:v>46661</x:v>
      </x:c>
      <x:c r="C120" s="84" t="str">
        <x:v>Octubre</x:v>
      </x:c>
      <x:c r="D120" s="84" t="n">
        <x:v>2027</x:v>
      </x:c>
      <x:c r="E120" s="84" t="str">
        <x:v>Iniciar trabajos de fachada en sectores disponibles</x:v>
      </x:c>
      <x:c r="F120" s="84" t="str">
        <x:v>Obra</x:v>
      </x:c>
      <x:c r="G120" s="84" t="str">
        <x:v>Fachada</x:v>
      </x:c>
      <x:c r="H120" s="84" t="str">
        <x:v>Rodrigo / Constructora</x:v>
      </x:c>
      <x:c r="I120" s="84" t="str">
        <x:v>Pendiente</x:v>
      </x:c>
      <x:c r="J120" s="84" t="str">
        <x:v>Alta</x:v>
      </x:c>
      <x:c r="K120" s="85" t="str"/>
    </x:row>
    <x:row r="121" ht="36" customHeight="1">
      <x:c r="A121" s="83" t="n">
        <x:v>174</x:v>
      </x:c>
      <x:c r="B121" s="101" t="n">
        <x:v>46661</x:v>
      </x:c>
      <x:c r="C121" s="84" t="str">
        <x:v>Octubre</x:v>
      </x:c>
      <x:c r="D121" s="84" t="n">
        <x:v>2027</x:v>
      </x:c>
      <x:c r="E121" s="84" t="str">
        <x:v>Definir colores exteriores definitivos</x:v>
      </x:c>
      <x:c r="F121" s="84" t="str">
        <x:v>Obra</x:v>
      </x:c>
      <x:c r="G121" s="84" t="str">
        <x:v>Fachada</x:v>
      </x:c>
      <x:c r="H121" s="84" t="str">
        <x:v>Rodrigo / Constructora</x:v>
      </x:c>
      <x:c r="I121" s="84" t="str">
        <x:v>Pendiente</x:v>
      </x:c>
      <x:c r="J121" s="84" t="str">
        <x:v>Alta</x:v>
      </x:c>
      <x:c r="K121" s="85" t="str"/>
    </x:row>
    <x:row r="122" ht="36" customHeight="1">
      <x:c r="A122" s="83" t="n">
        <x:v>175</x:v>
      </x:c>
      <x:c r="B122" s="101" t="n">
        <x:v>46661</x:v>
      </x:c>
      <x:c r="C122" s="84" t="str">
        <x:v>Octubre</x:v>
      </x:c>
      <x:c r="D122" s="84" t="n">
        <x:v>2027</x:v>
      </x:c>
      <x:c r="E122" s="84" t="str">
        <x:v>Definir materiales exteriores definitivos</x:v>
      </x:c>
      <x:c r="F122" s="84" t="str">
        <x:v>Obra</x:v>
      </x:c>
      <x:c r="G122" s="84" t="str">
        <x:v>Fachada</x:v>
      </x:c>
      <x:c r="H122" s="84" t="str">
        <x:v>Rodrigo / Constructora</x:v>
      </x:c>
      <x:c r="I122" s="84" t="str">
        <x:v>Pendiente</x:v>
      </x:c>
      <x:c r="J122" s="84" t="str">
        <x:v>Alta</x:v>
      </x:c>
      <x:c r="K122" s="85" t="str"/>
    </x:row>
    <x:row r="123" ht="36" customHeight="1">
      <x:c r="A123" s="83" t="n">
        <x:v>176</x:v>
      </x:c>
      <x:c r="B123" s="101" t="n">
        <x:v>46661</x:v>
      </x:c>
      <x:c r="C123" s="84" t="str">
        <x:v>Octubre</x:v>
      </x:c>
      <x:c r="D123" s="84" t="n">
        <x:v>2027</x:v>
      </x:c>
      <x:c r="E123" s="84" t="str">
        <x:v>Definir terminaciones exteriores definitivas</x:v>
      </x:c>
      <x:c r="F123" s="84" t="str">
        <x:v>Obra</x:v>
      </x:c>
      <x:c r="G123" s="84" t="str">
        <x:v>Fachada</x:v>
      </x:c>
      <x:c r="H123" s="84" t="str">
        <x:v>Rodrigo / Constructora</x:v>
      </x:c>
      <x:c r="I123" s="84" t="str">
        <x:v>Pendiente</x:v>
      </x:c>
      <x:c r="J123" s="84" t="str">
        <x:v>Alta</x:v>
      </x:c>
      <x:c r="K123" s="85" t="str"/>
    </x:row>
    <x:row r="124" ht="36" customHeight="1">
      <x:c r="A124" s="83" t="n">
        <x:v>177</x:v>
      </x:c>
      <x:c r="B124" s="101" t="n">
        <x:v>46661</x:v>
      </x:c>
      <x:c r="C124" s="84" t="str">
        <x:v>Octubre</x:v>
      </x:c>
      <x:c r="D124" s="84" t="n">
        <x:v>2027</x:v>
      </x:c>
      <x:c r="E124" s="84" t="str">
        <x:v>Actualizar material comercial con fotos de obra real</x:v>
      </x:c>
      <x:c r="F124" s="84" t="str">
        <x:v>Comercial</x:v>
      </x:c>
      <x:c r="G124" s="84" t="str">
        <x:v>Marketing / Ventas</x:v>
      </x:c>
      <x:c r="H124" s="84" t="str">
        <x:v>Marketing</x:v>
      </x:c>
      <x:c r="I124" s="84" t="str">
        <x:v>Pendiente</x:v>
      </x:c>
      <x:c r="J124" s="84" t="str">
        <x:v>Media</x:v>
      </x:c>
      <x:c r="K124" s="85" t="str"/>
    </x:row>
    <x:row r="125" ht="36" customHeight="1">
      <x:c r="A125" s="83" t="n">
        <x:v>178</x:v>
      </x:c>
      <x:c r="B125" s="101" t="n">
        <x:v>46692</x:v>
      </x:c>
      <x:c r="C125" s="84" t="str">
        <x:v>Noviembre</x:v>
      </x:c>
      <x:c r="D125" s="84" t="n">
        <x:v>2027</x:v>
      </x:c>
      <x:c r="E125" s="84" t="str">
        <x:v>Finalizar estructura si el ritmo fue bueno</x:v>
      </x:c>
      <x:c r="F125" s="84" t="str">
        <x:v>Obra</x:v>
      </x:c>
      <x:c r="G125" s="84" t="str">
        <x:v>Estructura</x:v>
      </x:c>
      <x:c r="H125" s="84" t="str">
        <x:v>Constructora</x:v>
      </x:c>
      <x:c r="I125" s="84" t="str">
        <x:v>Pendiente</x:v>
      </x:c>
      <x:c r="J125" s="84" t="str">
        <x:v>Alta</x:v>
      </x:c>
      <x:c r="K125" s="85" t="str">
        <x:v>Hito comercial fuerte</x:v>
      </x:c>
    </x:row>
    <x:row r="126" ht="36" customHeight="1">
      <x:c r="A126" s="83" t="n">
        <x:v>179</x:v>
      </x:c>
      <x:c r="B126" s="101" t="n">
        <x:v>46692</x:v>
      </x:c>
      <x:c r="C126" s="84" t="str">
        <x:v>Noviembre</x:v>
      </x:c>
      <x:c r="D126" s="84" t="n">
        <x:v>2027</x:v>
      </x:c>
      <x:c r="E126" s="84" t="str">
        <x:v>Comunicar hito de estructura terminada</x:v>
      </x:c>
      <x:c r="F126" s="84" t="str">
        <x:v>Comercial</x:v>
      </x:c>
      <x:c r="G126" s="84" t="str">
        <x:v>Marketing / Ventas</x:v>
      </x:c>
      <x:c r="H126" s="84" t="str">
        <x:v>Marketing / Comercial</x:v>
      </x:c>
      <x:c r="I126" s="84" t="str">
        <x:v>Pendiente</x:v>
      </x:c>
      <x:c r="J126" s="84" t="str">
        <x:v>Alta</x:v>
      </x:c>
      <x:c r="K126" s="85" t="str"/>
    </x:row>
    <x:row r="127" ht="36" customHeight="1">
      <x:c r="A127" s="83" t="n">
        <x:v>180</x:v>
      </x:c>
      <x:c r="B127" s="101" t="n">
        <x:v>46692</x:v>
      </x:c>
      <x:c r="C127" s="84" t="str">
        <x:v>Noviembre</x:v>
      </x:c>
      <x:c r="D127" s="84" t="n">
        <x:v>2027</x:v>
      </x:c>
      <x:c r="E127" s="84" t="str">
        <x:v>Continuar albañilería en pleno avance</x:v>
      </x:c>
      <x:c r="F127" s="84" t="str">
        <x:v>Obra</x:v>
      </x:c>
      <x:c r="G127" s="84" t="str">
        <x:v>Albañilería</x:v>
      </x:c>
      <x:c r="H127" s="84" t="str">
        <x:v>Constructora</x:v>
      </x:c>
      <x:c r="I127" s="84" t="str">
        <x:v>Pendiente</x:v>
      </x:c>
      <x:c r="J127" s="84" t="str">
        <x:v>Alta</x:v>
      </x:c>
      <x:c r="K127" s="85" t="str"/>
    </x:row>
    <x:row r="128" ht="36" customHeight="1">
      <x:c r="A128" s="83" t="n">
        <x:v>181</x:v>
      </x:c>
      <x:c r="B128" s="101" t="n">
        <x:v>46692</x:v>
      </x:c>
      <x:c r="C128" s="84" t="str">
        <x:v>Noviembre</x:v>
      </x:c>
      <x:c r="D128" s="84" t="n">
        <x:v>2027</x:v>
      </x:c>
      <x:c r="E128" s="84" t="str">
        <x:v>Continuar instalaciones en pleno avance</x:v>
      </x:c>
      <x:c r="F128" s="84" t="str">
        <x:v>Obra</x:v>
      </x:c>
      <x:c r="G128" s="84" t="str">
        <x:v>Instalaciones</x:v>
      </x:c>
      <x:c r="H128" s="84" t="str">
        <x:v>Instaladores</x:v>
      </x:c>
      <x:c r="I128" s="84" t="str">
        <x:v>Pendiente</x:v>
      </x:c>
      <x:c r="J128" s="84" t="str">
        <x:v>Alta</x:v>
      </x:c>
      <x:c r="K128" s="85" t="str"/>
    </x:row>
    <x:row r="129" ht="36" customHeight="1">
      <x:c r="A129" s="83" t="n">
        <x:v>182</x:v>
      </x:c>
      <x:c r="B129" s="101" t="n">
        <x:v>46692</x:v>
      </x:c>
      <x:c r="C129" s="84" t="str">
        <x:v>Noviembre</x:v>
      </x:c>
      <x:c r="D129" s="84" t="n">
        <x:v>2027</x:v>
      </x:c>
      <x:c r="E129" s="84" t="str">
        <x:v>Contratar yesería o revoques</x:v>
      </x:c>
      <x:c r="F129" s="84" t="str">
        <x:v>Obra</x:v>
      </x:c>
      <x:c r="G129" s="84" t="str">
        <x:v>Terminaciones</x:v>
      </x:c>
      <x:c r="H129" s="84" t="str">
        <x:v>Constructora / Socios</x:v>
      </x:c>
      <x:c r="I129" s="84" t="str">
        <x:v>Pendiente</x:v>
      </x:c>
      <x:c r="J129" s="84" t="str">
        <x:v>Alta</x:v>
      </x:c>
      <x:c r="K129" s="85" t="str"/>
    </x:row>
    <x:row r="130" ht="36" customHeight="1">
      <x:c r="A130" s="83" t="n">
        <x:v>183</x:v>
      </x:c>
      <x:c r="B130" s="101" t="n">
        <x:v>46692</x:v>
      </x:c>
      <x:c r="C130" s="84" t="str">
        <x:v>Noviembre</x:v>
      </x:c>
      <x:c r="D130" s="84" t="n">
        <x:v>2027</x:v>
      </x:c>
      <x:c r="E130" s="84" t="str">
        <x:v>Contratar contrapisos</x:v>
      </x:c>
      <x:c r="F130" s="84" t="str">
        <x:v>Obra</x:v>
      </x:c>
      <x:c r="G130" s="84" t="str">
        <x:v>Terminaciones</x:v>
      </x:c>
      <x:c r="H130" s="84" t="str">
        <x:v>Constructora / Socios</x:v>
      </x:c>
      <x:c r="I130" s="84" t="str">
        <x:v>Pendiente</x:v>
      </x:c>
      <x:c r="J130" s="84" t="str">
        <x:v>Alta</x:v>
      </x:c>
      <x:c r="K130" s="85" t="str"/>
    </x:row>
    <x:row r="131" ht="36" customHeight="1">
      <x:c r="A131" s="83" t="n">
        <x:v>184</x:v>
      </x:c>
      <x:c r="B131" s="101" t="n">
        <x:v>46692</x:v>
      </x:c>
      <x:c r="C131" s="84" t="str">
        <x:v>Noviembre</x:v>
      </x:c>
      <x:c r="D131" s="84" t="n">
        <x:v>2027</x:v>
      </x:c>
      <x:c r="E131" s="84" t="str">
        <x:v>Contratar carpetas</x:v>
      </x:c>
      <x:c r="F131" s="84" t="str">
        <x:v>Obra</x:v>
      </x:c>
      <x:c r="G131" s="84" t="str">
        <x:v>Terminaciones</x:v>
      </x:c>
      <x:c r="H131" s="84" t="str">
        <x:v>Constructora / Socios</x:v>
      </x:c>
      <x:c r="I131" s="84" t="str">
        <x:v>Pendiente</x:v>
      </x:c>
      <x:c r="J131" s="84" t="str">
        <x:v>Alta</x:v>
      </x:c>
      <x:c r="K131" s="85" t="str"/>
    </x:row>
    <x:row r="132" ht="36" customHeight="1">
      <x:c r="A132" s="83" t="n">
        <x:v>185</x:v>
      </x:c>
      <x:c r="B132" s="101" t="n">
        <x:v>46692</x:v>
      </x:c>
      <x:c r="C132" s="84" t="str">
        <x:v>Noviembre</x:v>
      </x:c>
      <x:c r="D132" s="84" t="n">
        <x:v>2027</x:v>
      </x:c>
      <x:c r="E132" s="84" t="str">
        <x:v>Contratar colocadores de pisos</x:v>
      </x:c>
      <x:c r="F132" s="84" t="str">
        <x:v>Obra</x:v>
      </x:c>
      <x:c r="G132" s="84" t="str">
        <x:v>Terminaciones</x:v>
      </x:c>
      <x:c r="H132" s="84" t="str">
        <x:v>Constructora / Socios</x:v>
      </x:c>
      <x:c r="I132" s="84" t="str">
        <x:v>Pendiente</x:v>
      </x:c>
      <x:c r="J132" s="84" t="str">
        <x:v>Alta</x:v>
      </x:c>
      <x:c r="K132" s="85" t="str"/>
    </x:row>
    <x:row r="133" ht="36" customHeight="1">
      <x:c r="A133" s="83" t="n">
        <x:v>186</x:v>
      </x:c>
      <x:c r="B133" s="101" t="n">
        <x:v>46692</x:v>
      </x:c>
      <x:c r="C133" s="84" t="str">
        <x:v>Noviembre</x:v>
      </x:c>
      <x:c r="D133" s="84" t="n">
        <x:v>2027</x:v>
      </x:c>
      <x:c r="E133" s="84" t="str">
        <x:v>Contratar carpinterías</x:v>
      </x:c>
      <x:c r="F133" s="84" t="str">
        <x:v>Obra</x:v>
      </x:c>
      <x:c r="G133" s="84" t="str">
        <x:v>Terminaciones</x:v>
      </x:c>
      <x:c r="H133" s="84" t="str">
        <x:v>Constructora / Socios</x:v>
      </x:c>
      <x:c r="I133" s="84" t="str">
        <x:v>Pendiente</x:v>
      </x:c>
      <x:c r="J133" s="84" t="str">
        <x:v>Alta</x:v>
      </x:c>
      <x:c r="K133" s="85" t="str"/>
    </x:row>
    <x:row r="134" ht="36" customHeight="1">
      <x:c r="A134" s="83" t="n">
        <x:v>187</x:v>
      </x:c>
      <x:c r="B134" s="101" t="n">
        <x:v>46692</x:v>
      </x:c>
      <x:c r="C134" s="84" t="str">
        <x:v>Noviembre</x:v>
      </x:c>
      <x:c r="D134" s="84" t="n">
        <x:v>2027</x:v>
      </x:c>
      <x:c r="E134" s="84" t="str">
        <x:v>Verificar pedidos de aberturas</x:v>
      </x:c>
      <x:c r="F134" s="84" t="str">
        <x:v>Obra</x:v>
      </x:c>
      <x:c r="G134" s="84" t="str">
        <x:v>Terminaciones</x:v>
      </x:c>
      <x:c r="H134" s="84" t="str">
        <x:v>Constructora / Socios</x:v>
      </x:c>
      <x:c r="I134" s="84" t="str">
        <x:v>Pendiente</x:v>
      </x:c>
      <x:c r="J134" s="84" t="str">
        <x:v>Alta</x:v>
      </x:c>
      <x:c r="K134" s="85" t="str"/>
    </x:row>
    <x:row r="135" ht="36" customHeight="1">
      <x:c r="A135" s="83" t="n">
        <x:v>188</x:v>
      </x:c>
      <x:c r="B135" s="101" t="n">
        <x:v>46692</x:v>
      </x:c>
      <x:c r="C135" s="84" t="str">
        <x:v>Noviembre</x:v>
      </x:c>
      <x:c r="D135" s="84" t="n">
        <x:v>2027</x:v>
      </x:c>
      <x:c r="E135" s="84" t="str">
        <x:v>Revisar financieramente la segunda mitad de obra</x:v>
      </x:c>
      <x:c r="F135" s="84" t="str">
        <x:v>Finanzas</x:v>
      </x:c>
      <x:c r="G135" s="84" t="str">
        <x:v>Finanzas</x:v>
      </x:c>
      <x:c r="H135" s="84" t="str">
        <x:v>Socios</x:v>
      </x:c>
      <x:c r="I135" s="84" t="str">
        <x:v>Pendiente</x:v>
      </x:c>
      <x:c r="J135" s="84" t="str">
        <x:v>Alta</x:v>
      </x:c>
      <x:c r="K135" s="85" t="str"/>
    </x:row>
    <x:row r="136" ht="36" customHeight="1">
      <x:c r="A136" s="83" t="n">
        <x:v>189</x:v>
      </x:c>
      <x:c r="B136" s="101" t="n">
        <x:v>46692</x:v>
      </x:c>
      <x:c r="C136" s="84" t="str">
        <x:v>Noviembre</x:v>
      </x:c>
      <x:c r="D136" s="84" t="n">
        <x:v>2027</x:v>
      </x:c>
      <x:c r="E136" s="84" t="str">
        <x:v>Realizar nueva ronda de ventas con precios más altos por menor riesgo de obra</x:v>
      </x:c>
      <x:c r="F136" s="84" t="str">
        <x:v>Comercial</x:v>
      </x:c>
      <x:c r="G136" s="84" t="str">
        <x:v>Marketing / Ventas</x:v>
      </x:c>
      <x:c r="H136" s="84" t="str">
        <x:v>Comercial</x:v>
      </x:c>
      <x:c r="I136" s="84" t="str">
        <x:v>Pendiente</x:v>
      </x:c>
      <x:c r="J136" s="84" t="str">
        <x:v>Media</x:v>
      </x:c>
      <x:c r="K136" s="85" t="str"/>
    </x:row>
    <x:row r="137" ht="36" customHeight="1">
      <x:c r="A137" s="83" t="n">
        <x:v>190</x:v>
      </x:c>
      <x:c r="B137" s="101" t="n">
        <x:v>46722</x:v>
      </x:c>
      <x:c r="C137" s="84" t="str">
        <x:v>Diciembre</x:v>
      </x:c>
      <x:c r="D137" s="84" t="n">
        <x:v>2027</x:v>
      </x:c>
      <x:c r="E137" s="84" t="str">
        <x:v>Cerrar primer año de obra</x:v>
      </x:c>
      <x:c r="F137" s="84" t="str">
        <x:v>Obra</x:v>
      </x:c>
      <x:c r="G137" s="84" t="str">
        <x:v>Control de obra</x:v>
      </x:c>
      <x:c r="H137" s="84" t="str">
        <x:v>Dirección de obra / Socios</x:v>
      </x:c>
      <x:c r="I137" s="84" t="str">
        <x:v>Pendiente</x:v>
      </x:c>
      <x:c r="J137" s="84" t="str">
        <x:v>Alta</x:v>
      </x:c>
      <x:c r="K137" s="85" t="str"/>
    </x:row>
    <x:row r="138" ht="36" customHeight="1">
      <x:c r="A138" s="83" t="n">
        <x:v>191</x:v>
      </x:c>
      <x:c r="B138" s="101" t="n">
        <x:v>46722</x:v>
      </x:c>
      <x:c r="C138" s="84" t="str">
        <x:v>Diciembre</x:v>
      </x:c>
      <x:c r="D138" s="84" t="n">
        <x:v>2027</x:v>
      </x:c>
      <x:c r="E138" s="84" t="str">
        <x:v>Verificar estructura terminada o prácticamente terminada</x:v>
      </x:c>
      <x:c r="F138" s="84" t="str">
        <x:v>Obra</x:v>
      </x:c>
      <x:c r="G138" s="84" t="str">
        <x:v>Control de obra</x:v>
      </x:c>
      <x:c r="H138" s="84" t="str">
        <x:v>Dirección de obra / Socios</x:v>
      </x:c>
      <x:c r="I138" s="84" t="str">
        <x:v>Pendiente</x:v>
      </x:c>
      <x:c r="J138" s="84" t="str">
        <x:v>Alta</x:v>
      </x:c>
      <x:c r="K138" s="85" t="str"/>
    </x:row>
    <x:row r="139" ht="36" customHeight="1">
      <x:c r="A139" s="83" t="n">
        <x:v>192</x:v>
      </x:c>
      <x:c r="B139" s="101" t="n">
        <x:v>46722</x:v>
      </x:c>
      <x:c r="C139" s="84" t="str">
        <x:v>Diciembre</x:v>
      </x:c>
      <x:c r="D139" s="84" t="n">
        <x:v>2027</x:v>
      </x:c>
      <x:c r="E139" s="84" t="str">
        <x:v>Verificar albañilería avanzada</x:v>
      </x:c>
      <x:c r="F139" s="84" t="str">
        <x:v>Obra</x:v>
      </x:c>
      <x:c r="G139" s="84" t="str">
        <x:v>Control de obra</x:v>
      </x:c>
      <x:c r="H139" s="84" t="str">
        <x:v>Dirección de obra / Socios</x:v>
      </x:c>
      <x:c r="I139" s="84" t="str">
        <x:v>Pendiente</x:v>
      </x:c>
      <x:c r="J139" s="84" t="str">
        <x:v>Alta</x:v>
      </x:c>
      <x:c r="K139" s="85" t="str"/>
    </x:row>
    <x:row r="140" ht="36" customHeight="1">
      <x:c r="A140" s="83" t="n">
        <x:v>193</x:v>
      </x:c>
      <x:c r="B140" s="101" t="n">
        <x:v>46722</x:v>
      </x:c>
      <x:c r="C140" s="84" t="str">
        <x:v>Diciembre</x:v>
      </x:c>
      <x:c r="D140" s="84" t="n">
        <x:v>2027</x:v>
      </x:c>
      <x:c r="E140" s="84" t="str">
        <x:v>Verificar instalaciones por piso</x:v>
      </x:c>
      <x:c r="F140" s="84" t="str">
        <x:v>Obra</x:v>
      </x:c>
      <x:c r="G140" s="84" t="str">
        <x:v>Control de obra</x:v>
      </x:c>
      <x:c r="H140" s="84" t="str">
        <x:v>Dirección de obra / Socios</x:v>
      </x:c>
      <x:c r="I140" s="84" t="str">
        <x:v>Pendiente</x:v>
      </x:c>
      <x:c r="J140" s="84" t="str">
        <x:v>Alta</x:v>
      </x:c>
      <x:c r="K140" s="85" t="str"/>
    </x:row>
    <x:row r="141" ht="36" customHeight="1">
      <x:c r="A141" s="83" t="n">
        <x:v>194</x:v>
      </x:c>
      <x:c r="B141" s="101" t="n">
        <x:v>46722</x:v>
      </x:c>
      <x:c r="C141" s="84" t="str">
        <x:v>Diciembre</x:v>
      </x:c>
      <x:c r="D141" s="84" t="n">
        <x:v>2027</x:v>
      </x:c>
      <x:c r="E141" s="84" t="str">
        <x:v>Iniciar revoques gruesos en sectores</x:v>
      </x:c>
      <x:c r="F141" s="84" t="str">
        <x:v>Obra</x:v>
      </x:c>
      <x:c r="G141" s="84" t="str">
        <x:v>Terminaciones</x:v>
      </x:c>
      <x:c r="H141" s="84" t="str">
        <x:v>Constructora</x:v>
      </x:c>
      <x:c r="I141" s="84" t="str">
        <x:v>Pendiente</x:v>
      </x:c>
      <x:c r="J141" s="84" t="str">
        <x:v>Alta</x:v>
      </x:c>
      <x:c r="K141" s="85" t="str"/>
    </x:row>
    <x:row r="142" ht="36" customHeight="1">
      <x:c r="A142" s="83" t="n">
        <x:v>195</x:v>
      </x:c>
      <x:c r="B142" s="101" t="n">
        <x:v>46722</x:v>
      </x:c>
      <x:c r="C142" s="84" t="str">
        <x:v>Diciembre</x:v>
      </x:c>
      <x:c r="D142" s="84" t="n">
        <x:v>2027</x:v>
      </x:c>
      <x:c r="E142" s="84" t="str">
        <x:v>Iniciar contrapisos</x:v>
      </x:c>
      <x:c r="F142" s="84" t="str">
        <x:v>Obra</x:v>
      </x:c>
      <x:c r="G142" s="84" t="str">
        <x:v>Terminaciones</x:v>
      </x:c>
      <x:c r="H142" s="84" t="str">
        <x:v>Constructora</x:v>
      </x:c>
      <x:c r="I142" s="84" t="str">
        <x:v>Pendiente</x:v>
      </x:c>
      <x:c r="J142" s="84" t="str">
        <x:v>Alta</x:v>
      </x:c>
      <x:c r="K142" s="85" t="str"/>
    </x:row>
    <x:row r="143" ht="36" customHeight="1">
      <x:c r="A143" s="83" t="n">
        <x:v>202</x:v>
      </x:c>
      <x:c r="B143" s="101" t="n">
        <x:v>46722</x:v>
      </x:c>
      <x:c r="C143" s="84" t="str">
        <x:v>Diciembre</x:v>
      </x:c>
      <x:c r="D143" s="84" t="n">
        <x:v>2027</x:v>
      </x:c>
      <x:c r="E143" s="84" t="str">
        <x:v>Planificar terminaciones finas para 2028</x:v>
      </x:c>
      <x:c r="F143" s="84" t="str">
        <x:v>Obra</x:v>
      </x:c>
      <x:c r="G143" s="84" t="str">
        <x:v>Terminaciones</x:v>
      </x:c>
      <x:c r="H143" s="84" t="str">
        <x:v>Socios / Rodrigo / Constructora</x:v>
      </x:c>
      <x:c r="I143" s="84" t="str">
        <x:v>Pendiente</x:v>
      </x:c>
      <x:c r="J143" s="84" t="str">
        <x:v>Alta</x:v>
      </x:c>
      <x:c r="K143" s="85" t="str"/>
    </x:row>
    <x:row r="144" ht="36" customHeight="1">
      <x:c r="A144" s="83" t="n">
        <x:v>203</x:v>
      </x:c>
      <x:c r="B144" s="101" t="n">
        <x:v>46753</x:v>
      </x:c>
      <x:c r="C144" s="84" t="str">
        <x:v>Enero</x:v>
      </x:c>
      <x:c r="D144" s="84" t="n">
        <x:v>2028</x:v>
      </x:c>
      <x:c r="E144" s="84" t="str">
        <x:v>Continuar albañilería</x:v>
      </x:c>
      <x:c r="F144" s="84" t="str">
        <x:v>Obra</x:v>
      </x:c>
      <x:c r="G144" s="84" t="str">
        <x:v>Albañilería</x:v>
      </x:c>
      <x:c r="H144" s="84" t="str">
        <x:v>Constructora</x:v>
      </x:c>
      <x:c r="I144" s="84" t="str">
        <x:v>Pendiente</x:v>
      </x:c>
      <x:c r="J144" s="84" t="str">
        <x:v>Alta</x:v>
      </x:c>
      <x:c r="K144" s="85" t="str"/>
    </x:row>
    <x:row r="145" ht="36" customHeight="1">
      <x:c r="A145" s="83" t="n">
        <x:v>204</x:v>
      </x:c>
      <x:c r="B145" s="101" t="n">
        <x:v>46753</x:v>
      </x:c>
      <x:c r="C145" s="84" t="str">
        <x:v>Enero</x:v>
      </x:c>
      <x:c r="D145" s="84" t="n">
        <x:v>2028</x:v>
      </x:c>
      <x:c r="E145" s="84" t="str">
        <x:v>Continuar instalaciones</x:v>
      </x:c>
      <x:c r="F145" s="84" t="str">
        <x:v>Obra</x:v>
      </x:c>
      <x:c r="G145" s="84" t="str">
        <x:v>Instalaciones</x:v>
      </x:c>
      <x:c r="H145" s="84" t="str">
        <x:v>Instaladores</x:v>
      </x:c>
      <x:c r="I145" s="84" t="str">
        <x:v>Pendiente</x:v>
      </x:c>
      <x:c r="J145" s="84" t="str">
        <x:v>Alta</x:v>
      </x:c>
      <x:c r="K145" s="85" t="str"/>
    </x:row>
    <x:row r="146" ht="36" customHeight="1">
      <x:c r="A146" s="83" t="n">
        <x:v>205</x:v>
      </x:c>
      <x:c r="B146" s="101" t="n">
        <x:v>46753</x:v>
      </x:c>
      <x:c r="C146" s="84" t="str">
        <x:v>Enero</x:v>
      </x:c>
      <x:c r="D146" s="84" t="n">
        <x:v>2028</x:v>
      </x:c>
      <x:c r="E146" s="84" t="str">
        <x:v>Ejecutar revoques gruesos</x:v>
      </x:c>
      <x:c r="F146" s="84" t="str">
        <x:v>Obra</x:v>
      </x:c>
      <x:c r="G146" s="84" t="str">
        <x:v>Terminaciones</x:v>
      </x:c>
      <x:c r="H146" s="84" t="str">
        <x:v>Constructora</x:v>
      </x:c>
      <x:c r="I146" s="84" t="str">
        <x:v>Pendiente</x:v>
      </x:c>
      <x:c r="J146" s="84" t="str">
        <x:v>Alta</x:v>
      </x:c>
      <x:c r="K146" s="85" t="str"/>
    </x:row>
    <x:row r="147" ht="36" customHeight="1">
      <x:c r="A147" s="83" t="n">
        <x:v>206</x:v>
      </x:c>
      <x:c r="B147" s="101" t="n">
        <x:v>46753</x:v>
      </x:c>
      <x:c r="C147" s="84" t="str">
        <x:v>Enero</x:v>
      </x:c>
      <x:c r="D147" s="84" t="n">
        <x:v>2028</x:v>
      </x:c>
      <x:c r="E147" s="84" t="str">
        <x:v>Ejecutar contrapisos y carpetas</x:v>
      </x:c>
      <x:c r="F147" s="84" t="str">
        <x:v>Obra</x:v>
      </x:c>
      <x:c r="G147" s="84" t="str">
        <x:v>Terminaciones</x:v>
      </x:c>
      <x:c r="H147" s="84" t="str">
        <x:v>Constructora</x:v>
      </x:c>
      <x:c r="I147" s="84" t="str">
        <x:v>Pendiente</x:v>
      </x:c>
      <x:c r="J147" s="84" t="str">
        <x:v>Alta</x:v>
      </x:c>
      <x:c r="K147" s="85" t="str"/>
    </x:row>
    <x:row r="148" ht="36" customHeight="1">
      <x:c r="A148" s="83" t="n">
        <x:v>207</x:v>
      </x:c>
      <x:c r="B148" s="101" t="n">
        <x:v>46753</x:v>
      </x:c>
      <x:c r="C148" s="84" t="str">
        <x:v>Enero</x:v>
      </x:c>
      <x:c r="D148" s="84" t="n">
        <x:v>2028</x:v>
      </x:c>
      <x:c r="E148" s="84" t="str">
        <x:v>Avanzar fachada</x:v>
      </x:c>
      <x:c r="F148" s="84" t="str">
        <x:v>Obra</x:v>
      </x:c>
      <x:c r="G148" s="84" t="str">
        <x:v>Fachada</x:v>
      </x:c>
      <x:c r="H148" s="84" t="str">
        <x:v>Constructora</x:v>
      </x:c>
      <x:c r="I148" s="84" t="str">
        <x:v>Pendiente</x:v>
      </x:c>
      <x:c r="J148" s="84" t="str">
        <x:v>Alta</x:v>
      </x:c>
      <x:c r="K148" s="85" t="str"/>
    </x:row>
    <x:row r="149" ht="36" customHeight="1">
      <x:c r="A149" s="83" t="n">
        <x:v>208</x:v>
      </x:c>
      <x:c r="B149" s="101" t="n">
        <x:v>46753</x:v>
      </x:c>
      <x:c r="C149" s="84" t="str">
        <x:v>Enero</x:v>
      </x:c>
      <x:c r="D149" s="84" t="n">
        <x:v>2028</x:v>
      </x:c>
      <x:c r="E149" s="84" t="str">
        <x:v>Iniciar colocación de premarcos o aberturas si corresponde</x:v>
      </x:c>
      <x:c r="F149" s="84" t="str">
        <x:v>Obra</x:v>
      </x:c>
      <x:c r="G149" s="84" t="str">
        <x:v>Fachada</x:v>
      </x:c>
      <x:c r="H149" s="84" t="str">
        <x:v>Constructora</x:v>
      </x:c>
      <x:c r="I149" s="84" t="str">
        <x:v>Pendiente</x:v>
      </x:c>
      <x:c r="J149" s="84" t="str">
        <x:v>Alta</x:v>
      </x:c>
      <x:c r="K149" s="85" t="str"/>
    </x:row>
    <x:row r="150" ht="36" customHeight="1">
      <x:c r="A150" s="83" t="n">
        <x:v>209</x:v>
      </x:c>
      <x:c r="B150" s="101" t="n">
        <x:v>46753</x:v>
      </x:c>
      <x:c r="C150" s="84" t="str">
        <x:v>Enero</x:v>
      </x:c>
      <x:c r="D150" s="84" t="n">
        <x:v>2028</x:v>
      </x:c>
      <x:c r="E150" s="84" t="str">
        <x:v>Revisar stock y entregas de materiales</x:v>
      </x:c>
      <x:c r="F150" s="84" t="str">
        <x:v>Obra</x:v>
      </x:c>
      <x:c r="G150" s="84" t="str">
        <x:v>Compras / Proveedores</x:v>
      </x:c>
      <x:c r="H150" s="84" t="str">
        <x:v>Constructora / Socios</x:v>
      </x:c>
      <x:c r="I150" s="84" t="str">
        <x:v>Pendiente</x:v>
      </x:c>
      <x:c r="J150" s="84" t="str">
        <x:v>Alta</x:v>
      </x:c>
      <x:c r="K150" s="85" t="str"/>
    </x:row>
    <x:row r="151" ht="36" customHeight="1">
      <x:c r="A151" s="83" t="n">
        <x:v>210</x:v>
      </x:c>
      <x:c r="B151" s="101" t="n">
        <x:v>46753</x:v>
      </x:c>
      <x:c r="C151" s="84" t="str">
        <x:v>Enero</x:v>
      </x:c>
      <x:c r="D151" s="84" t="n">
        <x:v>2028</x:v>
      </x:c>
      <x:c r="E151" s="84" t="str">
        <x:v>Lanzar campaña comercial de verano con avance real de obra</x:v>
      </x:c>
      <x:c r="F151" s="84" t="str">
        <x:v>Comercial</x:v>
      </x:c>
      <x:c r="G151" s="84" t="str">
        <x:v>Marketing / Ventas</x:v>
      </x:c>
      <x:c r="H151" s="84" t="str">
        <x:v>Marketing / Comercial</x:v>
      </x:c>
      <x:c r="I151" s="84" t="str">
        <x:v>Pendiente</x:v>
      </x:c>
      <x:c r="J151" s="84" t="str">
        <x:v>Media</x:v>
      </x:c>
      <x:c r="K151" s="85" t="str"/>
    </x:row>
    <x:row r="152" ht="36" customHeight="1">
      <x:c r="A152" s="83" t="n">
        <x:v>211</x:v>
      </x:c>
      <x:c r="B152" s="101" t="n">
        <x:v>46784</x:v>
      </x:c>
      <x:c r="C152" s="84" t="str">
        <x:v>Febrero</x:v>
      </x:c>
      <x:c r="D152" s="84" t="n">
        <x:v>2028</x:v>
      </x:c>
      <x:c r="E152" s="84" t="str">
        <x:v>Avanzar instalaciones por unidad</x:v>
      </x:c>
      <x:c r="F152" s="84" t="str">
        <x:v>Obra</x:v>
      </x:c>
      <x:c r="G152" s="84" t="str">
        <x:v>Instalaciones</x:v>
      </x:c>
      <x:c r="H152" s="84" t="str">
        <x:v>Instaladores / Dirección de obra</x:v>
      </x:c>
      <x:c r="I152" s="84" t="str">
        <x:v>Pendiente</x:v>
      </x:c>
      <x:c r="J152" s="84" t="str">
        <x:v>Alta</x:v>
      </x:c>
      <x:c r="K152" s="85" t="str"/>
    </x:row>
    <x:row r="153" ht="36" customHeight="1">
      <x:c r="A153" s="83" t="n">
        <x:v>212</x:v>
      </x:c>
      <x:c r="B153" s="101" t="n">
        <x:v>46784</x:v>
      </x:c>
      <x:c r="C153" s="84" t="str">
        <x:v>Febrero</x:v>
      </x:c>
      <x:c r="D153" s="84" t="n">
        <x:v>2028</x:v>
      </x:c>
      <x:c r="E153" s="84" t="str">
        <x:v>Realizar pruebas parciales de instalaciones sanitarias</x:v>
      </x:c>
      <x:c r="F153" s="84" t="str">
        <x:v>Obra</x:v>
      </x:c>
      <x:c r="G153" s="84" t="str">
        <x:v>Instalaciones</x:v>
      </x:c>
      <x:c r="H153" s="84" t="str">
        <x:v>Instaladores / Dirección de obra</x:v>
      </x:c>
      <x:c r="I153" s="84" t="str">
        <x:v>Pendiente</x:v>
      </x:c>
      <x:c r="J153" s="84" t="str">
        <x:v>Alta</x:v>
      </x:c>
      <x:c r="K153" s="85" t="str"/>
    </x:row>
    <x:row r="154" ht="36" customHeight="1">
      <x:c r="A154" s="83" t="n">
        <x:v>213</x:v>
      </x:c>
      <x:c r="B154" s="101" t="n">
        <x:v>46784</x:v>
      </x:c>
      <x:c r="C154" s="84" t="str">
        <x:v>Febrero</x:v>
      </x:c>
      <x:c r="D154" s="84" t="n">
        <x:v>2028</x:v>
      </x:c>
      <x:c r="E154" s="84" t="str">
        <x:v>Realizar pruebas parciales eléctricas</x:v>
      </x:c>
      <x:c r="F154" s="84" t="str">
        <x:v>Obra</x:v>
      </x:c>
      <x:c r="G154" s="84" t="str">
        <x:v>Instalaciones</x:v>
      </x:c>
      <x:c r="H154" s="84" t="str">
        <x:v>Instaladores / Dirección de obra</x:v>
      </x:c>
      <x:c r="I154" s="84" t="str">
        <x:v>Pendiente</x:v>
      </x:c>
      <x:c r="J154" s="84" t="str">
        <x:v>Alta</x:v>
      </x:c>
      <x:c r="K154" s="85" t="str"/>
    </x:row>
    <x:row r="155" ht="36" customHeight="1">
      <x:c r="A155" s="83" t="n">
        <x:v>214</x:v>
      </x:c>
      <x:c r="B155" s="101" t="n">
        <x:v>46784</x:v>
      </x:c>
      <x:c r="C155" s="84" t="str">
        <x:v>Febrero</x:v>
      </x:c>
      <x:c r="D155" s="84" t="n">
        <x:v>2028</x:v>
      </x:c>
      <x:c r="E155" s="84" t="str">
        <x:v>Ejecutar revoques interiores</x:v>
      </x:c>
      <x:c r="F155" s="84" t="str">
        <x:v>Obra</x:v>
      </x:c>
      <x:c r="G155" s="84" t="str">
        <x:v>Terminaciones</x:v>
      </x:c>
      <x:c r="H155" s="84" t="str">
        <x:v>Constructora</x:v>
      </x:c>
      <x:c r="I155" s="84" t="str">
        <x:v>Pendiente</x:v>
      </x:c>
      <x:c r="J155" s="84" t="str">
        <x:v>Alta</x:v>
      </x:c>
      <x:c r="K155" s="85" t="str"/>
    </x:row>
    <x:row r="156" ht="36" customHeight="1">
      <x:c r="A156" s="83" t="n">
        <x:v>215</x:v>
      </x:c>
      <x:c r="B156" s="101" t="n">
        <x:v>46784</x:v>
      </x:c>
      <x:c r="C156" s="84" t="str">
        <x:v>Febrero</x:v>
      </x:c>
      <x:c r="D156" s="84" t="n">
        <x:v>2028</x:v>
      </x:c>
      <x:c r="E156" s="84" t="str">
        <x:v>Avanzar fachada</x:v>
      </x:c>
      <x:c r="F156" s="84" t="str">
        <x:v>Obra</x:v>
      </x:c>
      <x:c r="G156" s="84" t="str">
        <x:v>Fachada</x:v>
      </x:c>
      <x:c r="H156" s="84" t="str">
        <x:v>Constructora</x:v>
      </x:c>
      <x:c r="I156" s="84" t="str">
        <x:v>Pendiente</x:v>
      </x:c>
      <x:c r="J156" s="84" t="str">
        <x:v>Alta</x:v>
      </x:c>
      <x:c r="K156" s="85" t="str"/>
    </x:row>
    <x:row r="157" ht="36" customHeight="1">
      <x:c r="A157" s="83" t="n">
        <x:v>216</x:v>
      </x:c>
      <x:c r="B157" s="101" t="n">
        <x:v>46784</x:v>
      </x:c>
      <x:c r="C157" s="84" t="str">
        <x:v>Febrero</x:v>
      </x:c>
      <x:c r="D157" s="84" t="n">
        <x:v>2028</x:v>
      </x:c>
      <x:c r="E157" s="84" t="str">
        <x:v>Coordinar con proveedor de ascensor</x:v>
      </x:c>
      <x:c r="F157" s="84" t="str">
        <x:v>Obra</x:v>
      </x:c>
      <x:c r="G157" s="84" t="str">
        <x:v>Ascensor</x:v>
      </x:c>
      <x:c r="H157" s="84" t="str">
        <x:v>Socios / Constructora</x:v>
      </x:c>
      <x:c r="I157" s="84" t="str">
        <x:v>Pendiente</x:v>
      </x:c>
      <x:c r="J157" s="84" t="str">
        <x:v>Alta</x:v>
      </x:c>
      <x:c r="K157" s="85" t="str"/>
    </x:row>
    <x:row r="158" ht="36" customHeight="1">
      <x:c r="A158" s="83" t="n">
        <x:v>217</x:v>
      </x:c>
      <x:c r="B158" s="101" t="n">
        <x:v>46784</x:v>
      </x:c>
      <x:c r="C158" s="84" t="str">
        <x:v>Febrero</x:v>
      </x:c>
      <x:c r="D158" s="84" t="n">
        <x:v>2028</x:v>
      </x:c>
      <x:c r="E158" s="84" t="str">
        <x:v>Iniciar trabajos en espacios comunes</x:v>
      </x:c>
      <x:c r="F158" s="84" t="str">
        <x:v>Obra</x:v>
      </x:c>
      <x:c r="G158" s="84" t="str">
        <x:v>Espacios comunes</x:v>
      </x:c>
      <x:c r="H158" s="84" t="str">
        <x:v>Rodrigo / Constructora</x:v>
      </x:c>
      <x:c r="I158" s="84" t="str">
        <x:v>Pendiente</x:v>
      </x:c>
      <x:c r="J158" s="84" t="str">
        <x:v>Alta</x:v>
      </x:c>
      <x:c r="K158" s="85" t="str"/>
    </x:row>
    <x:row r="159" ht="36" customHeight="1">
      <x:c r="A159" s="83" t="n">
        <x:v>218</x:v>
      </x:c>
      <x:c r="B159" s="101" t="n">
        <x:v>46784</x:v>
      </x:c>
      <x:c r="C159" s="84" t="str">
        <x:v>Febrero</x:v>
      </x:c>
      <x:c r="D159" s="84" t="n">
        <x:v>2028</x:v>
      </x:c>
      <x:c r="E159" s="84" t="str">
        <x:v>Revisar diseño interior del hall</x:v>
      </x:c>
      <x:c r="F159" s="84" t="str">
        <x:v>Obra</x:v>
      </x:c>
      <x:c r="G159" s="84" t="str">
        <x:v>Espacios comunes</x:v>
      </x:c>
      <x:c r="H159" s="84" t="str">
        <x:v>Rodrigo / Constructora</x:v>
      </x:c>
      <x:c r="I159" s="84" t="str">
        <x:v>Pendiente</x:v>
      </x:c>
      <x:c r="J159" s="84" t="str">
        <x:v>Alta</x:v>
      </x:c>
      <x:c r="K159" s="85" t="str"/>
    </x:row>
    <x:row r="160" ht="36" customHeight="1">
      <x:c r="A160" s="83" t="n">
        <x:v>219</x:v>
      </x:c>
      <x:c r="B160" s="101" t="n">
        <x:v>46784</x:v>
      </x:c>
      <x:c r="C160" s="84" t="str">
        <x:v>Febrero</x:v>
      </x:c>
      <x:c r="D160" s="84" t="n">
        <x:v>2028</x:v>
      </x:c>
      <x:c r="E160" s="84" t="str">
        <x:v>Revisar diseño interior de palieres</x:v>
      </x:c>
      <x:c r="F160" s="84" t="str">
        <x:v>Obra</x:v>
      </x:c>
      <x:c r="G160" s="84" t="str">
        <x:v>Espacios comunes</x:v>
      </x:c>
      <x:c r="H160" s="84" t="str">
        <x:v>Rodrigo / Constructora</x:v>
      </x:c>
      <x:c r="I160" s="84" t="str">
        <x:v>Pendiente</x:v>
      </x:c>
      <x:c r="J160" s="84" t="str">
        <x:v>Alta</x:v>
      </x:c>
      <x:c r="K160" s="85" t="str"/>
    </x:row>
    <x:row r="161" ht="36" customHeight="1">
      <x:c r="A161" s="83" t="n">
        <x:v>220</x:v>
      </x:c>
      <x:c r="B161" s="101" t="n">
        <x:v>46784</x:v>
      </x:c>
      <x:c r="C161" s="84" t="str">
        <x:v>Febrero</x:v>
      </x:c>
      <x:c r="D161" s="84" t="n">
        <x:v>2028</x:v>
      </x:c>
      <x:c r="E161" s="84" t="str">
        <x:v>Revisar accesos</x:v>
      </x:c>
      <x:c r="F161" s="84" t="str">
        <x:v>Obra</x:v>
      </x:c>
      <x:c r="G161" s="84" t="str">
        <x:v>Espacios comunes</x:v>
      </x:c>
      <x:c r="H161" s="84" t="str">
        <x:v>Rodrigo / Constructora</x:v>
      </x:c>
      <x:c r="I161" s="84" t="str">
        <x:v>Pendiente</x:v>
      </x:c>
      <x:c r="J161" s="84" t="str">
        <x:v>Alta</x:v>
      </x:c>
      <x:c r="K161" s="85" t="str"/>
    </x:row>
    <x:row r="162" ht="36" customHeight="1">
      <x:c r="A162" s="83" t="n">
        <x:v>221</x:v>
      </x:c>
      <x:c r="B162" s="101" t="n">
        <x:v>46784</x:v>
      </x:c>
      <x:c r="C162" s="84" t="str">
        <x:v>Febrero</x:v>
      </x:c>
      <x:c r="D162" s="84" t="n">
        <x:v>2028</x:v>
      </x:c>
      <x:c r="E162" s="84" t="str">
        <x:v>Revisar iluminación común</x:v>
      </x:c>
      <x:c r="F162" s="84" t="str">
        <x:v>Obra</x:v>
      </x:c>
      <x:c r="G162" s="84" t="str">
        <x:v>Espacios comunes</x:v>
      </x:c>
      <x:c r="H162" s="84" t="str">
        <x:v>Rodrigo / Constructora</x:v>
      </x:c>
      <x:c r="I162" s="84" t="str">
        <x:v>Pendiente</x:v>
      </x:c>
      <x:c r="J162" s="84" t="str">
        <x:v>Alta</x:v>
      </x:c>
      <x:c r="K162" s="85" t="str"/>
    </x:row>
    <x:row r="163" ht="36" customHeight="1">
      <x:c r="A163" s="83" t="n">
        <x:v>222</x:v>
      </x:c>
      <x:c r="B163" s="101" t="n">
        <x:v>46813</x:v>
      </x:c>
      <x:c r="C163" s="84" t="str">
        <x:v>Marzo</x:v>
      </x:c>
      <x:c r="D163" s="84" t="n">
        <x:v>2028</x:v>
      </x:c>
      <x:c r="E163" s="84" t="str">
        <x:v>Ejecutar revoques finos o yesería</x:v>
      </x:c>
      <x:c r="F163" s="84" t="str">
        <x:v>Obra</x:v>
      </x:c>
      <x:c r="G163" s="84" t="str">
        <x:v>Terminaciones</x:v>
      </x:c>
      <x:c r="H163" s="84" t="str">
        <x:v>Constructora</x:v>
      </x:c>
      <x:c r="I163" s="84" t="str">
        <x:v>Pendiente</x:v>
      </x:c>
      <x:c r="J163" s="84" t="str">
        <x:v>Alta</x:v>
      </x:c>
      <x:c r="K163" s="85" t="str"/>
    </x:row>
    <x:row r="164" ht="36" customHeight="1">
      <x:c r="A164" s="83" t="n">
        <x:v>223</x:v>
      </x:c>
      <x:c r="B164" s="101" t="n">
        <x:v>46813</x:v>
      </x:c>
      <x:c r="C164" s="84" t="str">
        <x:v>Marzo</x:v>
      </x:c>
      <x:c r="D164" s="84" t="n">
        <x:v>2028</x:v>
      </x:c>
      <x:c r="E164" s="84" t="str">
        <x:v>Colocar aberturas</x:v>
      </x:c>
      <x:c r="F164" s="84" t="str">
        <x:v>Obra</x:v>
      </x:c>
      <x:c r="G164" s="84" t="str">
        <x:v>Terminaciones</x:v>
      </x:c>
      <x:c r="H164" s="84" t="str">
        <x:v>Constructora</x:v>
      </x:c>
      <x:c r="I164" s="84" t="str">
        <x:v>Pendiente</x:v>
      </x:c>
      <x:c r="J164" s="84" t="str">
        <x:v>Alta</x:v>
      </x:c>
      <x:c r="K164" s="85" t="str"/>
    </x:row>
    <x:row r="165" ht="36" customHeight="1">
      <x:c r="A165" s="83" t="n">
        <x:v>224</x:v>
      </x:c>
      <x:c r="B165" s="101" t="n">
        <x:v>46813</x:v>
      </x:c>
      <x:c r="C165" s="84" t="str">
        <x:v>Marzo</x:v>
      </x:c>
      <x:c r="D165" s="84" t="n">
        <x:v>2028</x:v>
      </x:c>
      <x:c r="E165" s="84" t="str">
        <x:v>Ejecutar impermeabilizaciones</x:v>
      </x:c>
      <x:c r="F165" s="84" t="str">
        <x:v>Obra</x:v>
      </x:c>
      <x:c r="G165" s="84" t="str">
        <x:v>Terminaciones</x:v>
      </x:c>
      <x:c r="H165" s="84" t="str">
        <x:v>Constructora</x:v>
      </x:c>
      <x:c r="I165" s="84" t="str">
        <x:v>Pendiente</x:v>
      </x:c>
      <x:c r="J165" s="84" t="str">
        <x:v>Alta</x:v>
      </x:c>
      <x:c r="K165" s="85" t="str"/>
    </x:row>
    <x:row r="166" ht="36" customHeight="1">
      <x:c r="A166" s="83" t="n">
        <x:v>225</x:v>
      </x:c>
      <x:c r="B166" s="101" t="n">
        <x:v>46813</x:v>
      </x:c>
      <x:c r="C166" s="84" t="str">
        <x:v>Marzo</x:v>
      </x:c>
      <x:c r="D166" s="84" t="n">
        <x:v>2028</x:v>
      </x:c>
      <x:c r="E166" s="84" t="str">
        <x:v>Avanzar terrazas, balcones y patios</x:v>
      </x:c>
      <x:c r="F166" s="84" t="str">
        <x:v>Obra</x:v>
      </x:c>
      <x:c r="G166" s="84" t="str">
        <x:v>Terminaciones</x:v>
      </x:c>
      <x:c r="H166" s="84" t="str">
        <x:v>Constructora</x:v>
      </x:c>
      <x:c r="I166" s="84" t="str">
        <x:v>Pendiente</x:v>
      </x:c>
      <x:c r="J166" s="84" t="str">
        <x:v>Alta</x:v>
      </x:c>
      <x:c r="K166" s="85" t="str"/>
    </x:row>
    <x:row r="167" ht="36" customHeight="1">
      <x:c r="A167" s="83" t="n">
        <x:v>226</x:v>
      </x:c>
      <x:c r="B167" s="101" t="n">
        <x:v>46813</x:v>
      </x:c>
      <x:c r="C167" s="84" t="str">
        <x:v>Marzo</x:v>
      </x:c>
      <x:c r="D167" s="84" t="n">
        <x:v>2028</x:v>
      </x:c>
      <x:c r="E167" s="84" t="str">
        <x:v>Ejecutar carpetas finales</x:v>
      </x:c>
      <x:c r="F167" s="84" t="str">
        <x:v>Obra</x:v>
      </x:c>
      <x:c r="G167" s="84" t="str">
        <x:v>Terminaciones</x:v>
      </x:c>
      <x:c r="H167" s="84" t="str">
        <x:v>Constructora</x:v>
      </x:c>
      <x:c r="I167" s="84" t="str">
        <x:v>Pendiente</x:v>
      </x:c>
      <x:c r="J167" s="84" t="str">
        <x:v>Alta</x:v>
      </x:c>
      <x:c r="K167" s="85" t="str"/>
    </x:row>
    <x:row r="168" ht="36" customHeight="1">
      <x:c r="A168" s="83" t="n">
        <x:v>227</x:v>
      </x:c>
      <x:c r="B168" s="101" t="n">
        <x:v>46813</x:v>
      </x:c>
      <x:c r="C168" s="84" t="str">
        <x:v>Marzo</x:v>
      </x:c>
      <x:c r="D168" s="84" t="n">
        <x:v>2028</x:v>
      </x:c>
      <x:c r="E168" s="84" t="str">
        <x:v>Preparar colocación de pisos</x:v>
      </x:c>
      <x:c r="F168" s="84" t="str">
        <x:v>Obra</x:v>
      </x:c>
      <x:c r="G168" s="84" t="str">
        <x:v>Terminaciones</x:v>
      </x:c>
      <x:c r="H168" s="84" t="str">
        <x:v>Constructora</x:v>
      </x:c>
      <x:c r="I168" s="84" t="str">
        <x:v>Pendiente</x:v>
      </x:c>
      <x:c r="J168" s="84" t="str">
        <x:v>Alta</x:v>
      </x:c>
      <x:c r="K168" s="85" t="str"/>
    </x:row>
    <x:row r="169" ht="36" customHeight="1">
      <x:c r="A169" s="83" t="n">
        <x:v>228</x:v>
      </x:c>
      <x:c r="B169" s="101" t="n">
        <x:v>46813</x:v>
      </x:c>
      <x:c r="C169" s="84" t="str">
        <x:v>Marzo</x:v>
      </x:c>
      <x:c r="D169" s="84" t="n">
        <x:v>2028</x:v>
      </x:c>
      <x:c r="E169" s="84" t="str">
        <x:v>Licitar o contratar muebles de cocina</x:v>
      </x:c>
      <x:c r="F169" s="84" t="str">
        <x:v>Obra</x:v>
      </x:c>
      <x:c r="G169" s="84" t="str">
        <x:v>Compras / Proveedores</x:v>
      </x:c>
      <x:c r="H169" s="84" t="str">
        <x:v>Socios / Rodrigo</x:v>
      </x:c>
      <x:c r="I169" s="84" t="str">
        <x:v>Pendiente</x:v>
      </x:c>
      <x:c r="J169" s="84" t="str">
        <x:v>Alta</x:v>
      </x:c>
      <x:c r="K169" s="85" t="str"/>
    </x:row>
    <x:row r="170" ht="36" customHeight="1">
      <x:c r="A170" s="83" t="n">
        <x:v>229</x:v>
      </x:c>
      <x:c r="B170" s="101" t="n">
        <x:v>46813</x:v>
      </x:c>
      <x:c r="C170" s="84" t="str">
        <x:v>Marzo</x:v>
      </x:c>
      <x:c r="D170" s="84" t="n">
        <x:v>2028</x:v>
      </x:c>
      <x:c r="E170" s="84" t="str">
        <x:v>Definir mesadas</x:v>
      </x:c>
      <x:c r="F170" s="84" t="str">
        <x:v>Obra</x:v>
      </x:c>
      <x:c r="G170" s="84" t="str">
        <x:v>Compras / Proveedores</x:v>
      </x:c>
      <x:c r="H170" s="84" t="str">
        <x:v>Socios / Rodrigo</x:v>
      </x:c>
      <x:c r="I170" s="84" t="str">
        <x:v>Pendiente</x:v>
      </x:c>
      <x:c r="J170" s="84" t="str">
        <x:v>Alta</x:v>
      </x:c>
      <x:c r="K170" s="85" t="str"/>
    </x:row>
    <x:row r="171" ht="36" customHeight="1">
      <x:c r="A171" s="83" t="n">
        <x:v>230</x:v>
      </x:c>
      <x:c r="B171" s="101" t="n">
        <x:v>46813</x:v>
      </x:c>
      <x:c r="C171" s="84" t="str">
        <x:v>Marzo</x:v>
      </x:c>
      <x:c r="D171" s="84" t="n">
        <x:v>2028</x:v>
      </x:c>
      <x:c r="E171" s="84" t="str">
        <x:v>Definir placares si se incluyen</x:v>
      </x:c>
      <x:c r="F171" s="84" t="str">
        <x:v>Obra</x:v>
      </x:c>
      <x:c r="G171" s="84" t="str">
        <x:v>Compras / Proveedores</x:v>
      </x:c>
      <x:c r="H171" s="84" t="str">
        <x:v>Socios / Rodrigo</x:v>
      </x:c>
      <x:c r="I171" s="84" t="str">
        <x:v>Pendiente</x:v>
      </x:c>
      <x:c r="J171" s="84" t="str">
        <x:v>Alta</x:v>
      </x:c>
      <x:c r="K171" s="85" t="str"/>
    </x:row>
    <x:row r="172" ht="36" customHeight="1">
      <x:c r="A172" s="83" t="n">
        <x:v>232</x:v>
      </x:c>
      <x:c r="B172" s="101" t="n">
        <x:v>46844</x:v>
      </x:c>
      <x:c r="C172" s="84" t="str">
        <x:v>Abril</x:v>
      </x:c>
      <x:c r="D172" s="84" t="n">
        <x:v>2028</x:v>
      </x:c>
      <x:c r="E172" s="84" t="str">
        <x:v>Colocar pisos y revestimientos en primeras unidades</x:v>
      </x:c>
      <x:c r="F172" s="84" t="str">
        <x:v>Obra</x:v>
      </x:c>
      <x:c r="G172" s="84" t="str">
        <x:v>Terminaciones</x:v>
      </x:c>
      <x:c r="H172" s="84" t="str">
        <x:v>Constructora</x:v>
      </x:c>
      <x:c r="I172" s="84" t="str">
        <x:v>Pendiente</x:v>
      </x:c>
      <x:c r="J172" s="84" t="str">
        <x:v>Alta</x:v>
      </x:c>
      <x:c r="K172" s="85" t="str"/>
    </x:row>
    <x:row r="173" ht="36" customHeight="1">
      <x:c r="A173" s="83" t="n">
        <x:v>233</x:v>
      </x:c>
      <x:c r="B173" s="101" t="n">
        <x:v>46844</x:v>
      </x:c>
      <x:c r="C173" s="84" t="str">
        <x:v>Abril</x:v>
      </x:c>
      <x:c r="D173" s="84" t="n">
        <x:v>2028</x:v>
      </x:c>
      <x:c r="E173" s="84" t="str">
        <x:v>Instalar cañerías finales</x:v>
      </x:c>
      <x:c r="F173" s="84" t="str">
        <x:v>Obra</x:v>
      </x:c>
      <x:c r="G173" s="84" t="str">
        <x:v>Terminaciones</x:v>
      </x:c>
      <x:c r="H173" s="84" t="str">
        <x:v>Constructora</x:v>
      </x:c>
      <x:c r="I173" s="84" t="str">
        <x:v>Pendiente</x:v>
      </x:c>
      <x:c r="J173" s="84" t="str">
        <x:v>Alta</x:v>
      </x:c>
      <x:c r="K173" s="85" t="str"/>
    </x:row>
    <x:row r="174" ht="36" customHeight="1">
      <x:c r="A174" s="83" t="n">
        <x:v>234</x:v>
      </x:c>
      <x:c r="B174" s="101" t="n">
        <x:v>46844</x:v>
      </x:c>
      <x:c r="C174" s="84" t="str">
        <x:v>Abril</x:v>
      </x:c>
      <x:c r="D174" s="84" t="n">
        <x:v>2028</x:v>
      </x:c>
      <x:c r="E174" s="84" t="str">
        <x:v>Avanzar baños</x:v>
      </x:c>
      <x:c r="F174" s="84" t="str">
        <x:v>Obra</x:v>
      </x:c>
      <x:c r="G174" s="84" t="str">
        <x:v>Terminaciones</x:v>
      </x:c>
      <x:c r="H174" s="84" t="str">
        <x:v>Constructora</x:v>
      </x:c>
      <x:c r="I174" s="84" t="str">
        <x:v>Pendiente</x:v>
      </x:c>
      <x:c r="J174" s="84" t="str">
        <x:v>Alta</x:v>
      </x:c>
      <x:c r="K174" s="85" t="str"/>
    </x:row>
    <x:row r="175" ht="36" customHeight="1">
      <x:c r="A175" s="83" t="n">
        <x:v>235</x:v>
      </x:c>
      <x:c r="B175" s="101" t="n">
        <x:v>46844</x:v>
      </x:c>
      <x:c r="C175" s="84" t="str">
        <x:v>Abril</x:v>
      </x:c>
      <x:c r="D175" s="84" t="n">
        <x:v>2028</x:v>
      </x:c>
      <x:c r="E175" s="84" t="str">
        <x:v>Avanzar cocinas</x:v>
      </x:c>
      <x:c r="F175" s="84" t="str">
        <x:v>Obra</x:v>
      </x:c>
      <x:c r="G175" s="84" t="str">
        <x:v>Terminaciones</x:v>
      </x:c>
      <x:c r="H175" s="84" t="str">
        <x:v>Constructora</x:v>
      </x:c>
      <x:c r="I175" s="84" t="str">
        <x:v>Pendiente</x:v>
      </x:c>
      <x:c r="J175" s="84" t="str">
        <x:v>Alta</x:v>
      </x:c>
      <x:c r="K175" s="85" t="str"/>
    </x:row>
    <x:row r="176" ht="36" customHeight="1">
      <x:c r="A176" s="83" t="n">
        <x:v>236</x:v>
      </x:c>
      <x:c r="B176" s="101" t="n">
        <x:v>46844</x:v>
      </x:c>
      <x:c r="C176" s="84" t="str">
        <x:v>Abril</x:v>
      </x:c>
      <x:c r="D176" s="84" t="n">
        <x:v>2028</x:v>
      </x:c>
      <x:c r="E176" s="84" t="str">
        <x:v>Instalar carpinterías exteriores</x:v>
      </x:c>
      <x:c r="F176" s="84" t="str">
        <x:v>Obra</x:v>
      </x:c>
      <x:c r="G176" s="84" t="str">
        <x:v>Terminaciones</x:v>
      </x:c>
      <x:c r="H176" s="84" t="str">
        <x:v>Constructora</x:v>
      </x:c>
      <x:c r="I176" s="84" t="str">
        <x:v>Pendiente</x:v>
      </x:c>
      <x:c r="J176" s="84" t="str">
        <x:v>Alta</x:v>
      </x:c>
      <x:c r="K176" s="85" t="str"/>
    </x:row>
    <x:row r="177" ht="36" customHeight="1">
      <x:c r="A177" s="83" t="n">
        <x:v>237</x:v>
      </x:c>
      <x:c r="B177" s="101" t="n">
        <x:v>46844</x:v>
      </x:c>
      <x:c r="C177" s="84" t="str">
        <x:v>Abril</x:v>
      </x:c>
      <x:c r="D177" s="84" t="n">
        <x:v>2028</x:v>
      </x:c>
      <x:c r="E177" s="84" t="str">
        <x:v>Iniciar pintura base en sectores</x:v>
      </x:c>
      <x:c r="F177" s="84" t="str">
        <x:v>Obra</x:v>
      </x:c>
      <x:c r="G177" s="84" t="str">
        <x:v>Terminaciones</x:v>
      </x:c>
      <x:c r="H177" s="84" t="str">
        <x:v>Constructora</x:v>
      </x:c>
      <x:c r="I177" s="84" t="str">
        <x:v>Pendiente</x:v>
      </x:c>
      <x:c r="J177" s="84" t="str">
        <x:v>Alta</x:v>
      </x:c>
      <x:c r="K177" s="85" t="str"/>
    </x:row>
    <x:row r="178" ht="36" customHeight="1">
      <x:c r="A178" s="83" t="n">
        <x:v>238</x:v>
      </x:c>
      <x:c r="B178" s="101" t="n">
        <x:v>46844</x:v>
      </x:c>
      <x:c r="C178" s="84" t="str">
        <x:v>Abril</x:v>
      </x:c>
      <x:c r="D178" s="84" t="n">
        <x:v>2028</x:v>
      </x:c>
      <x:c r="E178" s="84" t="str">
        <x:v>Revisar terminaciones por unidad</x:v>
      </x:c>
      <x:c r="F178" s="84" t="str">
        <x:v>Obra</x:v>
      </x:c>
      <x:c r="G178" s="84" t="str">
        <x:v>Terminaciones</x:v>
      </x:c>
      <x:c r="H178" s="84" t="str">
        <x:v>Constructora</x:v>
      </x:c>
      <x:c r="I178" s="84" t="str">
        <x:v>Pendiente</x:v>
      </x:c>
      <x:c r="J178" s="84" t="str">
        <x:v>Alta</x:v>
      </x:c>
      <x:c r="K178" s="85" t="str"/>
    </x:row>
    <x:row r="179" ht="36" customHeight="1">
      <x:c r="A179" s="83" t="n">
        <x:v>239</x:v>
      </x:c>
      <x:c r="B179" s="101" t="n">
        <x:v>46844</x:v>
      </x:c>
      <x:c r="C179" s="84" t="str">
        <x:v>Abril</x:v>
      </x:c>
      <x:c r="D179" s="84" t="n">
        <x:v>2028</x:v>
      </x:c>
      <x:c r="E179" s="84" t="str">
        <x:v>Avanzar fachada en etapa media o avanzada</x:v>
      </x:c>
      <x:c r="F179" s="84" t="str">
        <x:v>Obra</x:v>
      </x:c>
      <x:c r="G179" s="84" t="str">
        <x:v>Fachada</x:v>
      </x:c>
      <x:c r="H179" s="84" t="str">
        <x:v>Constructora</x:v>
      </x:c>
      <x:c r="I179" s="84" t="str">
        <x:v>Pendiente</x:v>
      </x:c>
      <x:c r="J179" s="84" t="str">
        <x:v>Alta</x:v>
      </x:c>
      <x:c r="K179" s="85" t="str"/>
    </x:row>
    <x:row r="180" ht="36" customHeight="1">
      <x:c r="A180" s="83" t="n">
        <x:v>240</x:v>
      </x:c>
      <x:c r="B180" s="101" t="n">
        <x:v>46844</x:v>
      </x:c>
      <x:c r="C180" s="84" t="str">
        <x:v>Abril</x:v>
      </x:c>
      <x:c r="D180" s="84" t="n">
        <x:v>2028</x:v>
      </x:c>
      <x:c r="E180" s="84" t="str">
        <x:v>Evaluar aumento de precios por cercanía a entrega</x:v>
      </x:c>
      <x:c r="F180" s="84" t="str">
        <x:v>Comercial</x:v>
      </x:c>
      <x:c r="G180" s="84" t="str">
        <x:v>Marketing / Ventas</x:v>
      </x:c>
      <x:c r="H180" s="84" t="str">
        <x:v>Comercial / Socios</x:v>
      </x:c>
      <x:c r="I180" s="84" t="str">
        <x:v>Pendiente</x:v>
      </x:c>
      <x:c r="J180" s="84" t="str">
        <x:v>Media</x:v>
      </x:c>
      <x:c r="K180" s="85" t="str"/>
    </x:row>
    <x:row r="181" ht="36" customHeight="1">
      <x:c r="A181" s="83" t="n">
        <x:v>241</x:v>
      </x:c>
      <x:c r="B181" s="101" t="n">
        <x:v>46874</x:v>
      </x:c>
      <x:c r="C181" s="84" t="str">
        <x:v>Mayo</x:v>
      </x:c>
      <x:c r="D181" s="84" t="n">
        <x:v>2028</x:v>
      </x:c>
      <x:c r="E181" s="84" t="str">
        <x:v>Colocar revestimientos intensivamente</x:v>
      </x:c>
      <x:c r="F181" s="84" t="str">
        <x:v>Obra</x:v>
      </x:c>
      <x:c r="G181" s="84" t="str">
        <x:v>Terminaciones</x:v>
      </x:c>
      <x:c r="H181" s="84" t="str">
        <x:v>Constructora</x:v>
      </x:c>
      <x:c r="I181" s="84" t="str">
        <x:v>Pendiente</x:v>
      </x:c>
      <x:c r="J181" s="84" t="str">
        <x:v>Alta</x:v>
      </x:c>
      <x:c r="K181" s="85" t="str"/>
    </x:row>
    <x:row r="182" ht="36" customHeight="1">
      <x:c r="A182" s="83" t="n">
        <x:v>242</x:v>
      </x:c>
      <x:c r="B182" s="101" t="n">
        <x:v>46874</x:v>
      </x:c>
      <x:c r="C182" s="84" t="str">
        <x:v>Mayo</x:v>
      </x:c>
      <x:c r="D182" s="84" t="n">
        <x:v>2028</x:v>
      </x:c>
      <x:c r="E182" s="84" t="str">
        <x:v>Colocar pisos</x:v>
      </x:c>
      <x:c r="F182" s="84" t="str">
        <x:v>Obra</x:v>
      </x:c>
      <x:c r="G182" s="84" t="str">
        <x:v>Terminaciones</x:v>
      </x:c>
      <x:c r="H182" s="84" t="str">
        <x:v>Constructora</x:v>
      </x:c>
      <x:c r="I182" s="84" t="str">
        <x:v>Pendiente</x:v>
      </x:c>
      <x:c r="J182" s="84" t="str">
        <x:v>Alta</x:v>
      </x:c>
      <x:c r="K182" s="85" t="str"/>
    </x:row>
    <x:row r="183" ht="36" customHeight="1">
      <x:c r="A183" s="83" t="n">
        <x:v>243</x:v>
      </x:c>
      <x:c r="B183" s="101" t="n">
        <x:v>46874</x:v>
      </x:c>
      <x:c r="C183" s="84" t="str">
        <x:v>Mayo</x:v>
      </x:c>
      <x:c r="D183" s="84" t="n">
        <x:v>2028</x:v>
      </x:c>
      <x:c r="E183" s="84" t="str">
        <x:v>Instalar marcos, puertas interiores y herrajes</x:v>
      </x:c>
      <x:c r="F183" s="84" t="str">
        <x:v>Obra</x:v>
      </x:c>
      <x:c r="G183" s="84" t="str">
        <x:v>Terminaciones</x:v>
      </x:c>
      <x:c r="H183" s="84" t="str">
        <x:v>Constructora</x:v>
      </x:c>
      <x:c r="I183" s="84" t="str">
        <x:v>Pendiente</x:v>
      </x:c>
      <x:c r="J183" s="84" t="str">
        <x:v>Alta</x:v>
      </x:c>
      <x:c r="K183" s="85" t="str"/>
    </x:row>
    <x:row r="184" ht="36" customHeight="1">
      <x:c r="A184" s="83" t="n">
        <x:v>244</x:v>
      </x:c>
      <x:c r="B184" s="101" t="n">
        <x:v>46874</x:v>
      </x:c>
      <x:c r="C184" s="84" t="str">
        <x:v>Mayo</x:v>
      </x:c>
      <x:c r="D184" s="84" t="n">
        <x:v>2028</x:v>
      </x:c>
      <x:c r="E184" s="84" t="str">
        <x:v>Iniciar instalación de muebles de cocina</x:v>
      </x:c>
      <x:c r="F184" s="84" t="str">
        <x:v>Obra</x:v>
      </x:c>
      <x:c r="G184" s="84" t="str">
        <x:v>Terminaciones</x:v>
      </x:c>
      <x:c r="H184" s="84" t="str">
        <x:v>Constructora</x:v>
      </x:c>
      <x:c r="I184" s="84" t="str">
        <x:v>Pendiente</x:v>
      </x:c>
      <x:c r="J184" s="84" t="str">
        <x:v>Alta</x:v>
      </x:c>
      <x:c r="K184" s="85" t="str"/>
    </x:row>
    <x:row r="185" ht="36" customHeight="1">
      <x:c r="A185" s="83" t="n">
        <x:v>245</x:v>
      </x:c>
      <x:c r="B185" s="101" t="n">
        <x:v>46874</x:v>
      </x:c>
      <x:c r="C185" s="84" t="str">
        <x:v>Mayo</x:v>
      </x:c>
      <x:c r="D185" s="84" t="n">
        <x:v>2028</x:v>
      </x:c>
      <x:c r="E185" s="84" t="str">
        <x:v>Instalar mesadas</x:v>
      </x:c>
      <x:c r="F185" s="84" t="str">
        <x:v>Obra</x:v>
      </x:c>
      <x:c r="G185" s="84" t="str">
        <x:v>Terminaciones</x:v>
      </x:c>
      <x:c r="H185" s="84" t="str">
        <x:v>Constructora</x:v>
      </x:c>
      <x:c r="I185" s="84" t="str">
        <x:v>Pendiente</x:v>
      </x:c>
      <x:c r="J185" s="84" t="str">
        <x:v>Alta</x:v>
      </x:c>
      <x:c r="K185" s="85" t="str"/>
    </x:row>
    <x:row r="186" ht="36" customHeight="1">
      <x:c r="A186" s="83" t="n">
        <x:v>246</x:v>
      </x:c>
      <x:c r="B186" s="101" t="n">
        <x:v>46874</x:v>
      </x:c>
      <x:c r="C186" s="84" t="str">
        <x:v>Mayo</x:v>
      </x:c>
      <x:c r="D186" s="84" t="n">
        <x:v>2028</x:v>
      </x:c>
      <x:c r="E186" s="84" t="str">
        <x:v>Instalar bañeras, receptáculos o artefactos sanitarios según proyecto</x:v>
      </x:c>
      <x:c r="F186" s="84" t="str">
        <x:v>Obra</x:v>
      </x:c>
      <x:c r="G186" s="84" t="str">
        <x:v>Terminaciones</x:v>
      </x:c>
      <x:c r="H186" s="84" t="str">
        <x:v>Constructora</x:v>
      </x:c>
      <x:c r="I186" s="84" t="str">
        <x:v>Pendiente</x:v>
      </x:c>
      <x:c r="J186" s="84" t="str">
        <x:v>Alta</x:v>
      </x:c>
      <x:c r="K186" s="85" t="str"/>
    </x:row>
    <x:row r="187" ht="36" customHeight="1">
      <x:c r="A187" s="83" t="n">
        <x:v>247</x:v>
      </x:c>
      <x:c r="B187" s="101" t="n">
        <x:v>46874</x:v>
      </x:c>
      <x:c r="C187" s="84" t="str">
        <x:v>Mayo</x:v>
      </x:c>
      <x:c r="D187" s="84" t="n">
        <x:v>2028</x:v>
      </x:c>
      <x:c r="E187" s="84" t="str">
        <x:v>Avanzar instalación eléctrica final</x:v>
      </x:c>
      <x:c r="F187" s="84" t="str">
        <x:v>Obra</x:v>
      </x:c>
      <x:c r="G187" s="84" t="str">
        <x:v>Terminaciones</x:v>
      </x:c>
      <x:c r="H187" s="84" t="str">
        <x:v>Constructora</x:v>
      </x:c>
      <x:c r="I187" s="84" t="str">
        <x:v>Pendiente</x:v>
      </x:c>
      <x:c r="J187" s="84" t="str">
        <x:v>Alta</x:v>
      </x:c>
      <x:c r="K187" s="85" t="str"/>
    </x:row>
    <x:row r="188" ht="36" customHeight="1">
      <x:c r="A188" s="83" t="n">
        <x:v>248</x:v>
      </x:c>
      <x:c r="B188" s="101" t="n">
        <x:v>46874</x:v>
      </x:c>
      <x:c r="C188" s="84" t="str">
        <x:v>Mayo</x:v>
      </x:c>
      <x:c r="D188" s="84" t="n">
        <x:v>2028</x:v>
      </x:c>
      <x:c r="E188" s="84" t="str">
        <x:v>Avanzar iluminación en espacios comunes</x:v>
      </x:c>
      <x:c r="F188" s="84" t="str">
        <x:v>Obra</x:v>
      </x:c>
      <x:c r="G188" s="84" t="str">
        <x:v>Terminaciones</x:v>
      </x:c>
      <x:c r="H188" s="84" t="str">
        <x:v>Constructora</x:v>
      </x:c>
      <x:c r="I188" s="84" t="str">
        <x:v>Pendiente</x:v>
      </x:c>
      <x:c r="J188" s="84" t="str">
        <x:v>Alta</x:v>
      </x:c>
      <x:c r="K188" s="85" t="str"/>
    </x:row>
    <x:row r="189" ht="36" customHeight="1">
      <x:c r="A189" s="83" t="n">
        <x:v>249</x:v>
      </x:c>
      <x:c r="B189" s="101" t="n">
        <x:v>46874</x:v>
      </x:c>
      <x:c r="C189" s="84" t="str">
        <x:v>Mayo</x:v>
      </x:c>
      <x:c r="D189" s="84" t="n">
        <x:v>2028</x:v>
      </x:c>
      <x:c r="E189" s="84" t="str">
        <x:v>Seguir avance de instalación de ascensor</x:v>
      </x:c>
      <x:c r="F189" s="84" t="str">
        <x:v>Obra</x:v>
      </x:c>
      <x:c r="G189" s="84" t="str">
        <x:v>Ascensor</x:v>
      </x:c>
      <x:c r="H189" s="84" t="str">
        <x:v>Proveedor ascensor / Constructora</x:v>
      </x:c>
      <x:c r="I189" s="84" t="str">
        <x:v>Pendiente</x:v>
      </x:c>
      <x:c r="J189" s="84" t="str">
        <x:v>Alta</x:v>
      </x:c>
      <x:c r="K189" s="85" t="str"/>
    </x:row>
    <x:row r="190" ht="36" customHeight="1">
      <x:c r="A190" s="83" t="n">
        <x:v>250</x:v>
      </x:c>
      <x:c r="B190" s="101" t="n">
        <x:v>46905</x:v>
      </x:c>
      <x:c r="C190" s="84" t="str">
        <x:v>Junio</x:v>
      </x:c>
      <x:c r="D190" s="84" t="n">
        <x:v>2028</x:v>
      </x:c>
      <x:c r="E190" s="84" t="str">
        <x:v>Avanzar terminaciones interiores en varias unidades</x:v>
      </x:c>
      <x:c r="F190" s="84" t="str">
        <x:v>Obra</x:v>
      </x:c>
      <x:c r="G190" s="84" t="str">
        <x:v>Terminaciones</x:v>
      </x:c>
      <x:c r="H190" s="84" t="str">
        <x:v>Constructora</x:v>
      </x:c>
      <x:c r="I190" s="84" t="str">
        <x:v>Pendiente</x:v>
      </x:c>
      <x:c r="J190" s="84" t="str">
        <x:v>Alta</x:v>
      </x:c>
      <x:c r="K190" s="85" t="str"/>
    </x:row>
    <x:row r="191" ht="36" customHeight="1">
      <x:c r="A191" s="83" t="n">
        <x:v>251</x:v>
      </x:c>
      <x:c r="B191" s="101" t="n">
        <x:v>46905</x:v>
      </x:c>
      <x:c r="C191" s="84" t="str">
        <x:v>Junio</x:v>
      </x:c>
      <x:c r="D191" s="84" t="n">
        <x:v>2028</x:v>
      </x:c>
      <x:c r="E191" s="84" t="str">
        <x:v>Iniciar pintura interior</x:v>
      </x:c>
      <x:c r="F191" s="84" t="str">
        <x:v>Obra</x:v>
      </x:c>
      <x:c r="G191" s="84" t="str">
        <x:v>Terminaciones</x:v>
      </x:c>
      <x:c r="H191" s="84" t="str">
        <x:v>Constructora</x:v>
      </x:c>
      <x:c r="I191" s="84" t="str">
        <x:v>Pendiente</x:v>
      </x:c>
      <x:c r="J191" s="84" t="str">
        <x:v>Alta</x:v>
      </x:c>
      <x:c r="K191" s="85" t="str"/>
    </x:row>
    <x:row r="192" ht="36" customHeight="1">
      <x:c r="A192" s="83" t="n">
        <x:v>252</x:v>
      </x:c>
      <x:c r="B192" s="101" t="n">
        <x:v>46905</x:v>
      </x:c>
      <x:c r="C192" s="84" t="str">
        <x:v>Junio</x:v>
      </x:c>
      <x:c r="D192" s="84" t="n">
        <x:v>2028</x:v>
      </x:c>
      <x:c r="E192" s="84" t="str">
        <x:v>Instalar griferías</x:v>
      </x:c>
      <x:c r="F192" s="84" t="str">
        <x:v>Obra</x:v>
      </x:c>
      <x:c r="G192" s="84" t="str">
        <x:v>Terminaciones</x:v>
      </x:c>
      <x:c r="H192" s="84" t="str">
        <x:v>Constructora</x:v>
      </x:c>
      <x:c r="I192" s="84" t="str">
        <x:v>Pendiente</x:v>
      </x:c>
      <x:c r="J192" s="84" t="str">
        <x:v>Alta</x:v>
      </x:c>
      <x:c r="K192" s="85" t="str"/>
    </x:row>
    <x:row r="193" ht="36" customHeight="1">
      <x:c r="A193" s="83" t="n">
        <x:v>253</x:v>
      </x:c>
      <x:c r="B193" s="101" t="n">
        <x:v>46905</x:v>
      </x:c>
      <x:c r="C193" s="84" t="str">
        <x:v>Junio</x:v>
      </x:c>
      <x:c r="D193" s="84" t="n">
        <x:v>2028</x:v>
      </x:c>
      <x:c r="E193" s="84" t="str">
        <x:v>Instalar artefactos sanitarios</x:v>
      </x:c>
      <x:c r="F193" s="84" t="str">
        <x:v>Obra</x:v>
      </x:c>
      <x:c r="G193" s="84" t="str">
        <x:v>Terminaciones</x:v>
      </x:c>
      <x:c r="H193" s="84" t="str">
        <x:v>Constructora</x:v>
      </x:c>
      <x:c r="I193" s="84" t="str">
        <x:v>Pendiente</x:v>
      </x:c>
      <x:c r="J193" s="84" t="str">
        <x:v>Alta</x:v>
      </x:c>
      <x:c r="K193" s="85" t="str"/>
    </x:row>
    <x:row r="194" ht="36" customHeight="1">
      <x:c r="A194" s="83" t="n">
        <x:v>254</x:v>
      </x:c>
      <x:c r="B194" s="101" t="n">
        <x:v>46905</x:v>
      </x:c>
      <x:c r="C194" s="84" t="str">
        <x:v>Junio</x:v>
      </x:c>
      <x:c r="D194" s="84" t="n">
        <x:v>2028</x:v>
      </x:c>
      <x:c r="E194" s="84" t="str">
        <x:v>Instalar muebles bajo mesada y alacenas</x:v>
      </x:c>
      <x:c r="F194" s="84" t="str">
        <x:v>Obra</x:v>
      </x:c>
      <x:c r="G194" s="84" t="str">
        <x:v>Terminaciones</x:v>
      </x:c>
      <x:c r="H194" s="84" t="str">
        <x:v>Constructora</x:v>
      </x:c>
      <x:c r="I194" s="84" t="str">
        <x:v>Pendiente</x:v>
      </x:c>
      <x:c r="J194" s="84" t="str">
        <x:v>Alta</x:v>
      </x:c>
      <x:c r="K194" s="85" t="str"/>
    </x:row>
    <x:row r="195" ht="36" customHeight="1">
      <x:c r="A195" s="83" t="n">
        <x:v>255</x:v>
      </x:c>
      <x:c r="B195" s="101" t="n">
        <x:v>46905</x:v>
      </x:c>
      <x:c r="C195" s="84" t="str">
        <x:v>Junio</x:v>
      </x:c>
      <x:c r="D195" s="84" t="n">
        <x:v>2028</x:v>
      </x:c>
      <x:c r="E195" s="84" t="str">
        <x:v>Avanzar hall de entrada</x:v>
      </x:c>
      <x:c r="F195" s="84" t="str">
        <x:v>Obra</x:v>
      </x:c>
      <x:c r="G195" s="84" t="str">
        <x:v>Espacios comunes</x:v>
      </x:c>
      <x:c r="H195" s="84" t="str">
        <x:v>Constructora / Rodrigo</x:v>
      </x:c>
      <x:c r="I195" s="84" t="str">
        <x:v>Pendiente</x:v>
      </x:c>
      <x:c r="J195" s="84" t="str">
        <x:v>Alta</x:v>
      </x:c>
      <x:c r="K195" s="85" t="str"/>
    </x:row>
    <x:row r="196" ht="36" customHeight="1">
      <x:c r="A196" s="83" t="n">
        <x:v>256</x:v>
      </x:c>
      <x:c r="B196" s="101" t="n">
        <x:v>46905</x:v>
      </x:c>
      <x:c r="C196" s="84" t="str">
        <x:v>Junio</x:v>
      </x:c>
      <x:c r="D196" s="84" t="n">
        <x:v>2028</x:v>
      </x:c>
      <x:c r="E196" s="84" t="str">
        <x:v>Avanzar palieres</x:v>
      </x:c>
      <x:c r="F196" s="84" t="str">
        <x:v>Obra</x:v>
      </x:c>
      <x:c r="G196" s="84" t="str">
        <x:v>Espacios comunes</x:v>
      </x:c>
      <x:c r="H196" s="84" t="str">
        <x:v>Constructora / Rodrigo</x:v>
      </x:c>
      <x:c r="I196" s="84" t="str">
        <x:v>Pendiente</x:v>
      </x:c>
      <x:c r="J196" s="84" t="str">
        <x:v>Alta</x:v>
      </x:c>
      <x:c r="K196" s="85" t="str"/>
    </x:row>
    <x:row r="197" ht="36" customHeight="1">
      <x:c r="A197" s="83" t="n">
        <x:v>257</x:v>
      </x:c>
      <x:c r="B197" s="101" t="n">
        <x:v>46905</x:v>
      </x:c>
      <x:c r="C197" s="84" t="str">
        <x:v>Junio</x:v>
      </x:c>
      <x:c r="D197" s="84" t="n">
        <x:v>2028</x:v>
      </x:c>
      <x:c r="E197" s="84" t="str">
        <x:v>Avanzar fachada final</x:v>
      </x:c>
      <x:c r="F197" s="84" t="str">
        <x:v>Obra</x:v>
      </x:c>
      <x:c r="G197" s="84" t="str">
        <x:v>Fachada</x:v>
      </x:c>
      <x:c r="H197" s="84" t="str">
        <x:v>Constructora</x:v>
      </x:c>
      <x:c r="I197" s="84" t="str">
        <x:v>Pendiente</x:v>
      </x:c>
      <x:c r="J197" s="84" t="str">
        <x:v>Alta</x:v>
      </x:c>
      <x:c r="K197" s="85" t="str"/>
    </x:row>
    <x:row r="198" ht="36" customHeight="1">
      <x:c r="A198" s="83" t="n">
        <x:v>258</x:v>
      </x:c>
      <x:c r="B198" s="101" t="n">
        <x:v>46905</x:v>
      </x:c>
      <x:c r="C198" s="84" t="str">
        <x:v>Junio</x:v>
      </x:c>
      <x:c r="D198" s="84" t="n">
        <x:v>2028</x:v>
      </x:c>
      <x:c r="E198" s="84" t="str">
        <x:v>Controlar calidad por unidad</x:v>
      </x:c>
      <x:c r="F198" s="84" t="str">
        <x:v>Obra</x:v>
      </x:c>
      <x:c r="G198" s="84" t="str">
        <x:v>Control de obra</x:v>
      </x:c>
      <x:c r="H198" s="84" t="str">
        <x:v>Dirección de obra / Socios</x:v>
      </x:c>
      <x:c r="I198" s="84" t="str">
        <x:v>Pendiente</x:v>
      </x:c>
      <x:c r="J198" s="84" t="str">
        <x:v>Alta</x:v>
      </x:c>
      <x:c r="K198" s="85" t="str"/>
    </x:row>
    <x:row r="199" ht="36" customHeight="1">
      <x:c r="A199" s="83" t="n">
        <x:v>259</x:v>
      </x:c>
      <x:c r="B199" s="101" t="n">
        <x:v>46905</x:v>
      </x:c>
      <x:c r="C199" s="84" t="str">
        <x:v>Junio</x:v>
      </x:c>
      <x:c r="D199" s="84" t="n">
        <x:v>2028</x:v>
      </x:c>
      <x:c r="E199" s="84" t="str">
        <x:v>Armar lista de pendientes por piso</x:v>
      </x:c>
      <x:c r="F199" s="84" t="str">
        <x:v>Obra</x:v>
      </x:c>
      <x:c r="G199" s="84" t="str">
        <x:v>Control de obra</x:v>
      </x:c>
      <x:c r="H199" s="84" t="str">
        <x:v>Dirección de obra / Socios</x:v>
      </x:c>
      <x:c r="I199" s="84" t="str">
        <x:v>Pendiente</x:v>
      </x:c>
      <x:c r="J199" s="84" t="str">
        <x:v>Alta</x:v>
      </x:c>
      <x:c r="K199" s="85" t="str"/>
    </x:row>
    <x:row r="200" ht="36" customHeight="1">
      <x:c r="A200" s="83" t="n">
        <x:v>260</x:v>
      </x:c>
      <x:c r="B200" s="101" t="n">
        <x:v>46935</x:v>
      </x:c>
      <x:c r="C200" s="84" t="str">
        <x:v>Julio</x:v>
      </x:c>
      <x:c r="D200" s="84" t="n">
        <x:v>2028</x:v>
      </x:c>
      <x:c r="E200" s="84" t="str">
        <x:v>Continuar pintura interior</x:v>
      </x:c>
      <x:c r="F200" s="84" t="str">
        <x:v>Obra</x:v>
      </x:c>
      <x:c r="G200" s="84" t="str">
        <x:v>Terminaciones</x:v>
      </x:c>
      <x:c r="H200" s="84" t="str">
        <x:v>Constructora</x:v>
      </x:c>
      <x:c r="I200" s="84" t="str">
        <x:v>Pendiente</x:v>
      </x:c>
      <x:c r="J200" s="84" t="str">
        <x:v>Alta</x:v>
      </x:c>
      <x:c r="K200" s="85" t="str"/>
    </x:row>
    <x:row r="201" ht="36" customHeight="1">
      <x:c r="A201" s="83" t="n">
        <x:v>261</x:v>
      </x:c>
      <x:c r="B201" s="101" t="n">
        <x:v>46935</x:v>
      </x:c>
      <x:c r="C201" s="84" t="str">
        <x:v>Julio</x:v>
      </x:c>
      <x:c r="D201" s="84" t="n">
        <x:v>2028</x:v>
      </x:c>
      <x:c r="E201" s="84" t="str">
        <x:v>Terminar baños</x:v>
      </x:c>
      <x:c r="F201" s="84" t="str">
        <x:v>Obra</x:v>
      </x:c>
      <x:c r="G201" s="84" t="str">
        <x:v>Terminaciones</x:v>
      </x:c>
      <x:c r="H201" s="84" t="str">
        <x:v>Constructora</x:v>
      </x:c>
      <x:c r="I201" s="84" t="str">
        <x:v>Pendiente</x:v>
      </x:c>
      <x:c r="J201" s="84" t="str">
        <x:v>Alta</x:v>
      </x:c>
      <x:c r="K201" s="85" t="str"/>
    </x:row>
    <x:row r="202" ht="36" customHeight="1">
      <x:c r="A202" s="83" t="n">
        <x:v>262</x:v>
      </x:c>
      <x:c r="B202" s="101" t="n">
        <x:v>46935</x:v>
      </x:c>
      <x:c r="C202" s="84" t="str">
        <x:v>Julio</x:v>
      </x:c>
      <x:c r="D202" s="84" t="n">
        <x:v>2028</x:v>
      </x:c>
      <x:c r="E202" s="84" t="str">
        <x:v>Terminar cocinas</x:v>
      </x:c>
      <x:c r="F202" s="84" t="str">
        <x:v>Obra</x:v>
      </x:c>
      <x:c r="G202" s="84" t="str">
        <x:v>Terminaciones</x:v>
      </x:c>
      <x:c r="H202" s="84" t="str">
        <x:v>Constructora</x:v>
      </x:c>
      <x:c r="I202" s="84" t="str">
        <x:v>Pendiente</x:v>
      </x:c>
      <x:c r="J202" s="84" t="str">
        <x:v>Alta</x:v>
      </x:c>
      <x:c r="K202" s="85" t="str"/>
    </x:row>
    <x:row r="203" ht="36" customHeight="1">
      <x:c r="A203" s="83" t="n">
        <x:v>263</x:v>
      </x:c>
      <x:c r="B203" s="101" t="n">
        <x:v>46935</x:v>
      </x:c>
      <x:c r="C203" s="84" t="str">
        <x:v>Julio</x:v>
      </x:c>
      <x:c r="D203" s="84" t="n">
        <x:v>2028</x:v>
      </x:c>
      <x:c r="E203" s="84" t="str">
        <x:v>Colocar placares si aplica</x:v>
      </x:c>
      <x:c r="F203" s="84" t="str">
        <x:v>Obra</x:v>
      </x:c>
      <x:c r="G203" s="84" t="str">
        <x:v>Terminaciones</x:v>
      </x:c>
      <x:c r="H203" s="84" t="str">
        <x:v>Constructora</x:v>
      </x:c>
      <x:c r="I203" s="84" t="str">
        <x:v>Pendiente</x:v>
      </x:c>
      <x:c r="J203" s="84" t="str">
        <x:v>Alta</x:v>
      </x:c>
      <x:c r="K203" s="85" t="str"/>
    </x:row>
    <x:row r="204" ht="36" customHeight="1">
      <x:c r="A204" s="83" t="n">
        <x:v>264</x:v>
      </x:c>
      <x:c r="B204" s="101" t="n">
        <x:v>46935</x:v>
      </x:c>
      <x:c r="C204" s="84" t="str">
        <x:v>Julio</x:v>
      </x:c>
      <x:c r="D204" s="84" t="n">
        <x:v>2028</x:v>
      </x:c>
      <x:c r="E204" s="84" t="str">
        <x:v>Colocar barandas</x:v>
      </x:c>
      <x:c r="F204" s="84" t="str">
        <x:v>Obra</x:v>
      </x:c>
      <x:c r="G204" s="84" t="str">
        <x:v>Terminaciones</x:v>
      </x:c>
      <x:c r="H204" s="84" t="str">
        <x:v>Constructora</x:v>
      </x:c>
      <x:c r="I204" s="84" t="str">
        <x:v>Pendiente</x:v>
      </x:c>
      <x:c r="J204" s="84" t="str">
        <x:v>Alta</x:v>
      </x:c>
      <x:c r="K204" s="85" t="str"/>
    </x:row>
    <x:row r="205" ht="36" customHeight="1">
      <x:c r="A205" s="83" t="n">
        <x:v>265</x:v>
      </x:c>
      <x:c r="B205" s="101" t="n">
        <x:v>46935</x:v>
      </x:c>
      <x:c r="C205" s="84" t="str">
        <x:v>Julio</x:v>
      </x:c>
      <x:c r="D205" s="84" t="n">
        <x:v>2028</x:v>
      </x:c>
      <x:c r="E205" s="84" t="str">
        <x:v>Terminar balcones</x:v>
      </x:c>
      <x:c r="F205" s="84" t="str">
        <x:v>Obra</x:v>
      </x:c>
      <x:c r="G205" s="84" t="str">
        <x:v>Terminaciones</x:v>
      </x:c>
      <x:c r="H205" s="84" t="str">
        <x:v>Constructora</x:v>
      </x:c>
      <x:c r="I205" s="84" t="str">
        <x:v>Pendiente</x:v>
      </x:c>
      <x:c r="J205" s="84" t="str">
        <x:v>Alta</x:v>
      </x:c>
      <x:c r="K205" s="85" t="str"/>
    </x:row>
    <x:row r="206" ht="36" customHeight="1">
      <x:c r="A206" s="83" t="n">
        <x:v>266</x:v>
      </x:c>
      <x:c r="B206" s="101" t="n">
        <x:v>46935</x:v>
      </x:c>
      <x:c r="C206" s="84" t="str">
        <x:v>Julio</x:v>
      </x:c>
      <x:c r="D206" s="84" t="n">
        <x:v>2028</x:v>
      </x:c>
      <x:c r="E206" s="84" t="str">
        <x:v>Finalizar o avanzar fuertemente instalación de ascensor</x:v>
      </x:c>
      <x:c r="F206" s="84" t="str">
        <x:v>Obra</x:v>
      </x:c>
      <x:c r="G206" s="84" t="str">
        <x:v>Ascensor</x:v>
      </x:c>
      <x:c r="H206" s="84" t="str">
        <x:v>Proveedor ascensor</x:v>
      </x:c>
      <x:c r="I206" s="84" t="str">
        <x:v>Pendiente</x:v>
      </x:c>
      <x:c r="J206" s="84" t="str">
        <x:v>Alta</x:v>
      </x:c>
      <x:c r="K206" s="85" t="str"/>
    </x:row>
    <x:row r="207" ht="36" customHeight="1">
      <x:c r="A207" s="83" t="n">
        <x:v>267</x:v>
      </x:c>
      <x:c r="B207" s="101" t="n">
        <x:v>46935</x:v>
      </x:c>
      <x:c r="C207" s="84" t="str">
        <x:v>Julio</x:v>
      </x:c>
      <x:c r="D207" s="84" t="n">
        <x:v>2028</x:v>
      </x:c>
      <x:c r="E207" s="84" t="str">
        <x:v>Trabajar en acceso principal</x:v>
      </x:c>
      <x:c r="F207" s="84" t="str">
        <x:v>Obra</x:v>
      </x:c>
      <x:c r="G207" s="84" t="str">
        <x:v>Espacios comunes</x:v>
      </x:c>
      <x:c r="H207" s="84" t="str">
        <x:v>Constructora</x:v>
      </x:c>
      <x:c r="I207" s="84" t="str">
        <x:v>Pendiente</x:v>
      </x:c>
      <x:c r="J207" s="84" t="str">
        <x:v>Alta</x:v>
      </x:c>
      <x:c r="K207" s="85" t="str"/>
    </x:row>
    <x:row r="208" ht="36" customHeight="1">
      <x:c r="A208" s="83" t="n">
        <x:v>268</x:v>
      </x:c>
      <x:c r="B208" s="101" t="n">
        <x:v>46935</x:v>
      </x:c>
      <x:c r="C208" s="84" t="str">
        <x:v>Julio</x:v>
      </x:c>
      <x:c r="D208" s="84" t="n">
        <x:v>2028</x:v>
      </x:c>
      <x:c r="E208" s="84" t="str">
        <x:v>Trabajar en vereda si corresponde</x:v>
      </x:c>
      <x:c r="F208" s="84" t="str">
        <x:v>Obra</x:v>
      </x:c>
      <x:c r="G208" s="84" t="str">
        <x:v>Espacios comunes</x:v>
      </x:c>
      <x:c r="H208" s="84" t="str">
        <x:v>Constructora</x:v>
      </x:c>
      <x:c r="I208" s="84" t="str">
        <x:v>Pendiente</x:v>
      </x:c>
      <x:c r="J208" s="84" t="str">
        <x:v>Alta</x:v>
      </x:c>
      <x:c r="K208" s="85" t="str"/>
    </x:row>
    <x:row r="209" ht="36" customHeight="1">
      <x:c r="A209" s="83" t="n">
        <x:v>269</x:v>
      </x:c>
      <x:c r="B209" s="101" t="n">
        <x:v>46935</x:v>
      </x:c>
      <x:c r="C209" s="84" t="str">
        <x:v>Julio</x:v>
      </x:c>
      <x:c r="D209" s="84" t="n">
        <x:v>2028</x:v>
      </x:c>
      <x:c r="E209" s="84" t="str">
        <x:v>Iniciar limpieza gruesa por sectores</x:v>
      </x:c>
      <x:c r="F209" s="84" t="str">
        <x:v>Obra</x:v>
      </x:c>
      <x:c r="G209" s="84" t="str">
        <x:v>Espacios comunes</x:v>
      </x:c>
      <x:c r="H209" s="84" t="str">
        <x:v>Constructora</x:v>
      </x:c>
      <x:c r="I209" s="84" t="str">
        <x:v>Pendiente</x:v>
      </x:c>
      <x:c r="J209" s="84" t="str">
        <x:v>Alta</x:v>
      </x:c>
      <x:c r="K209" s="85" t="str"/>
    </x:row>
    <x:row r="210" ht="36" customHeight="1">
      <x:c r="A210" s="83" t="n">
        <x:v>270</x:v>
      </x:c>
      <x:c r="B210" s="101" t="n">
        <x:v>46935</x:v>
      </x:c>
      <x:c r="C210" s="84" t="str">
        <x:v>Julio</x:v>
      </x:c>
      <x:c r="D210" s="84" t="n">
        <x:v>2028</x:v>
      </x:c>
      <x:c r="E210" s="84" t="str">
        <x:v>Revisar documentación legal y comercial para futuras escrituras de unidades</x:v>
      </x:c>
      <x:c r="F210" s="84" t="str">
        <x:v>Legal / Entrega</x:v>
      </x:c>
      <x:c r="G210" s="84" t="str">
        <x:v>Legal</x:v>
      </x:c>
      <x:c r="H210" s="84" t="str">
        <x:v>Legal / Socios</x:v>
      </x:c>
      <x:c r="I210" s="84" t="str">
        <x:v>Pendiente</x:v>
      </x:c>
      <x:c r="J210" s="84" t="str">
        <x:v>Alta</x:v>
      </x:c>
      <x:c r="K210" s="85" t="str"/>
    </x:row>
    <x:row r="211" ht="36" customHeight="1">
      <x:c r="A211" s="83" t="n">
        <x:v>271</x:v>
      </x:c>
      <x:c r="B211" s="101" t="n">
        <x:v>46966</x:v>
      </x:c>
      <x:c r="C211" s="84" t="str">
        <x:v>Agosto</x:v>
      </x:c>
      <x:c r="D211" s="84" t="n">
        <x:v>2028</x:v>
      </x:c>
      <x:c r="E211" s="84" t="str">
        <x:v>Ejecutar terminaciones finales en unidades</x:v>
      </x:c>
      <x:c r="F211" s="84" t="str">
        <x:v>Obra</x:v>
      </x:c>
      <x:c r="G211" s="84" t="str">
        <x:v>Terminaciones</x:v>
      </x:c>
      <x:c r="H211" s="84" t="str">
        <x:v>Constructora / Instaladores</x:v>
      </x:c>
      <x:c r="I211" s="84" t="str">
        <x:v>Pendiente</x:v>
      </x:c>
      <x:c r="J211" s="84" t="str">
        <x:v>Alta</x:v>
      </x:c>
      <x:c r="K211" s="85" t="str"/>
    </x:row>
    <x:row r="212" ht="36" customHeight="1">
      <x:c r="A212" s="83" t="n">
        <x:v>272</x:v>
      </x:c>
      <x:c r="B212" s="101" t="n">
        <x:v>46966</x:v>
      </x:c>
      <x:c r="C212" s="84" t="str">
        <x:v>Agosto</x:v>
      </x:c>
      <x:c r="D212" s="84" t="n">
        <x:v>2028</x:v>
      </x:c>
      <x:c r="E212" s="84" t="str">
        <x:v>Instalar artefactos eléctricos</x:v>
      </x:c>
      <x:c r="F212" s="84" t="str">
        <x:v>Obra</x:v>
      </x:c>
      <x:c r="G212" s="84" t="str">
        <x:v>Terminaciones</x:v>
      </x:c>
      <x:c r="H212" s="84" t="str">
        <x:v>Constructora / Instaladores</x:v>
      </x:c>
      <x:c r="I212" s="84" t="str">
        <x:v>Pendiente</x:v>
      </x:c>
      <x:c r="J212" s="84" t="str">
        <x:v>Alta</x:v>
      </x:c>
      <x:c r="K212" s="85" t="str"/>
    </x:row>
    <x:row r="213" ht="36" customHeight="1">
      <x:c r="A213" s="83" t="n">
        <x:v>273</x:v>
      </x:c>
      <x:c r="B213" s="101" t="n">
        <x:v>46966</x:v>
      </x:c>
      <x:c r="C213" s="84" t="str">
        <x:v>Agosto</x:v>
      </x:c>
      <x:c r="D213" s="84" t="n">
        <x:v>2028</x:v>
      </x:c>
      <x:c r="E213" s="84" t="str">
        <x:v>Colocar luminarias comunes</x:v>
      </x:c>
      <x:c r="F213" s="84" t="str">
        <x:v>Obra</x:v>
      </x:c>
      <x:c r="G213" s="84" t="str">
        <x:v>Terminaciones</x:v>
      </x:c>
      <x:c r="H213" s="84" t="str">
        <x:v>Constructora / Instaladores</x:v>
      </x:c>
      <x:c r="I213" s="84" t="str">
        <x:v>Pendiente</x:v>
      </x:c>
      <x:c r="J213" s="84" t="str">
        <x:v>Alta</x:v>
      </x:c>
      <x:c r="K213" s="85" t="str"/>
    </x:row>
    <x:row r="214" ht="36" customHeight="1">
      <x:c r="A214" s="83" t="n">
        <x:v>274</x:v>
      </x:c>
      <x:c r="B214" s="101" t="n">
        <x:v>46966</x:v>
      </x:c>
      <x:c r="C214" s="84" t="str">
        <x:v>Agosto</x:v>
      </x:c>
      <x:c r="D214" s="84" t="n">
        <x:v>2028</x:v>
      </x:c>
      <x:c r="E214" s="84" t="str">
        <x:v>Realizar pruebas finales de instalaciones</x:v>
      </x:c>
      <x:c r="F214" s="84" t="str">
        <x:v>Obra</x:v>
      </x:c>
      <x:c r="G214" s="84" t="str">
        <x:v>Terminaciones</x:v>
      </x:c>
      <x:c r="H214" s="84" t="str">
        <x:v>Constructora / Instaladores</x:v>
      </x:c>
      <x:c r="I214" s="84" t="str">
        <x:v>Pendiente</x:v>
      </x:c>
      <x:c r="J214" s="84" t="str">
        <x:v>Alta</x:v>
      </x:c>
      <x:c r="K214" s="85" t="str"/>
    </x:row>
    <x:row r="215" ht="36" customHeight="1">
      <x:c r="A215" s="83" t="n">
        <x:v>275</x:v>
      </x:c>
      <x:c r="B215" s="101" t="n">
        <x:v>46966</x:v>
      </x:c>
      <x:c r="C215" s="84" t="str">
        <x:v>Agosto</x:v>
      </x:c>
      <x:c r="D215" s="84" t="n">
        <x:v>2028</x:v>
      </x:c>
      <x:c r="E215" s="84" t="str">
        <x:v>Realizar pruebas de presión de agua</x:v>
      </x:c>
      <x:c r="F215" s="84" t="str">
        <x:v>Obra</x:v>
      </x:c>
      <x:c r="G215" s="84" t="str">
        <x:v>Terminaciones</x:v>
      </x:c>
      <x:c r="H215" s="84" t="str">
        <x:v>Constructora / Instaladores</x:v>
      </x:c>
      <x:c r="I215" s="84" t="str">
        <x:v>Pendiente</x:v>
      </x:c>
      <x:c r="J215" s="84" t="str">
        <x:v>Alta</x:v>
      </x:c>
      <x:c r="K215" s="85" t="str"/>
    </x:row>
    <x:row r="216" ht="36" customHeight="1">
      <x:c r="A216" s="83" t="n">
        <x:v>276</x:v>
      </x:c>
      <x:c r="B216" s="101" t="n">
        <x:v>46966</x:v>
      </x:c>
      <x:c r="C216" s="84" t="str">
        <x:v>Agosto</x:v>
      </x:c>
      <x:c r="D216" s="84" t="n">
        <x:v>2028</x:v>
      </x:c>
      <x:c r="E216" s="84" t="str">
        <x:v>Realizar pruebas eléctricas</x:v>
      </x:c>
      <x:c r="F216" s="84" t="str">
        <x:v>Obra</x:v>
      </x:c>
      <x:c r="G216" s="84" t="str">
        <x:v>Terminaciones</x:v>
      </x:c>
      <x:c r="H216" s="84" t="str">
        <x:v>Constructora / Instaladores</x:v>
      </x:c>
      <x:c r="I216" s="84" t="str">
        <x:v>Pendiente</x:v>
      </x:c>
      <x:c r="J216" s="84" t="str">
        <x:v>Alta</x:v>
      </x:c>
      <x:c r="K216" s="85" t="str"/>
    </x:row>
    <x:row r="217" ht="36" customHeight="1">
      <x:c r="A217" s="83" t="n">
        <x:v>277</x:v>
      </x:c>
      <x:c r="B217" s="101" t="n">
        <x:v>46966</x:v>
      </x:c>
      <x:c r="C217" s="84" t="str">
        <x:v>Agosto</x:v>
      </x:c>
      <x:c r="D217" s="84" t="n">
        <x:v>2028</x:v>
      </x:c>
      <x:c r="E217" s="84" t="str">
        <x:v>Avanzar final de ascensor</x:v>
      </x:c>
      <x:c r="F217" s="84" t="str">
        <x:v>Obra</x:v>
      </x:c>
      <x:c r="G217" s="84" t="str">
        <x:v>Ascensor</x:v>
      </x:c>
      <x:c r="H217" s="84" t="str">
        <x:v>Proveedor ascensor</x:v>
      </x:c>
      <x:c r="I217" s="84" t="str">
        <x:v>Pendiente</x:v>
      </x:c>
      <x:c r="J217" s="84" t="str">
        <x:v>Alta</x:v>
      </x:c>
      <x:c r="K217" s="85" t="str"/>
    </x:row>
    <x:row r="218" ht="36" customHeight="1">
      <x:c r="A218" s="83" t="n">
        <x:v>278</x:v>
      </x:c>
      <x:c r="B218" s="101" t="n">
        <x:v>46966</x:v>
      </x:c>
      <x:c r="C218" s="84" t="str">
        <x:v>Agosto</x:v>
      </x:c>
      <x:c r="D218" s="84" t="n">
        <x:v>2028</x:v>
      </x:c>
      <x:c r="E218" s="84" t="str">
        <x:v>Terminar fachada</x:v>
      </x:c>
      <x:c r="F218" s="84" t="str">
        <x:v>Obra</x:v>
      </x:c>
      <x:c r="G218" s="84" t="str">
        <x:v>Fachada</x:v>
      </x:c>
      <x:c r="H218" s="84" t="str">
        <x:v>Constructora</x:v>
      </x:c>
      <x:c r="I218" s="84" t="str">
        <x:v>Pendiente</x:v>
      </x:c>
      <x:c r="J218" s="84" t="str">
        <x:v>Alta</x:v>
      </x:c>
      <x:c r="K218" s="85" t="str"/>
    </x:row>
    <x:row r="219" ht="36" customHeight="1">
      <x:c r="A219" s="83" t="n">
        <x:v>279</x:v>
      </x:c>
      <x:c r="B219" s="101" t="n">
        <x:v>46966</x:v>
      </x:c>
      <x:c r="C219" s="84" t="str">
        <x:v>Agosto</x:v>
      </x:c>
      <x:c r="D219" s="84" t="n">
        <x:v>2028</x:v>
      </x:c>
      <x:c r="E219" s="84" t="str">
        <x:v>Terminar espacios comunes</x:v>
      </x:c>
      <x:c r="F219" s="84" t="str">
        <x:v>Obra</x:v>
      </x:c>
      <x:c r="G219" s="84" t="str">
        <x:v>Espacios comunes</x:v>
      </x:c>
      <x:c r="H219" s="84" t="str">
        <x:v>Constructora</x:v>
      </x:c>
      <x:c r="I219" s="84" t="str">
        <x:v>Pendiente</x:v>
      </x:c>
      <x:c r="J219" s="84" t="str">
        <x:v>Alta</x:v>
      </x:c>
      <x:c r="K219" s="85" t="str"/>
    </x:row>
    <x:row r="220" ht="36" customHeight="1">
      <x:c r="A220" s="83" t="n">
        <x:v>280</x:v>
      </x:c>
      <x:c r="B220" s="101" t="n">
        <x:v>46966</x:v>
      </x:c>
      <x:c r="C220" s="84" t="str">
        <x:v>Agosto</x:v>
      </x:c>
      <x:c r="D220" s="84" t="n">
        <x:v>2028</x:v>
      </x:c>
      <x:c r="E220" s="84" t="str">
        <x:v>Iniciar armado de documentación para final de obra</x:v>
      </x:c>
      <x:c r="F220" s="84" t="str">
        <x:v>Tramitación</x:v>
      </x:c>
      <x:c r="G220" s="84" t="str">
        <x:v>Municipalidad</x:v>
      </x:c>
      <x:c r="H220" s="84" t="str">
        <x:v>Gestora / Rodrigo</x:v>
      </x:c>
      <x:c r="I220" s="84" t="str">
        <x:v>Pendiente</x:v>
      </x:c>
      <x:c r="J220" s="84" t="str">
        <x:v>Alta</x:v>
      </x:c>
      <x:c r="K220" s="85" t="str"/>
    </x:row>
    <x:row r="221" ht="36" customHeight="1">
      <x:c r="A221" s="83" t="n">
        <x:v>281</x:v>
      </x:c>
      <x:c r="B221" s="101" t="n">
        <x:v>46966</x:v>
      </x:c>
      <x:c r="C221" s="84" t="str">
        <x:v>Agosto</x:v>
      </x:c>
      <x:c r="D221" s="84" t="n">
        <x:v>2028</x:v>
      </x:c>
      <x:c r="E221" s="84" t="str">
        <x:v>Seguir pendientes unidad por unidad</x:v>
      </x:c>
      <x:c r="F221" s="84" t="str">
        <x:v>Obra</x:v>
      </x:c>
      <x:c r="G221" s="84" t="str">
        <x:v>Control de obra</x:v>
      </x:c>
      <x:c r="H221" s="84" t="str">
        <x:v>Dirección de obra / Socios</x:v>
      </x:c>
      <x:c r="I221" s="84" t="str">
        <x:v>Pendiente</x:v>
      </x:c>
      <x:c r="J221" s="84" t="str">
        <x:v>Alta</x:v>
      </x:c>
      <x:c r="K221" s="85" t="str"/>
    </x:row>
    <x:row r="222" ht="36" customHeight="1">
      <x:c r="A222" s="83" t="n">
        <x:v>282</x:v>
      </x:c>
      <x:c r="B222" s="101" t="n">
        <x:v>46997</x:v>
      </x:c>
      <x:c r="C222" s="84" t="str">
        <x:v>Septiembre</x:v>
      </x:c>
      <x:c r="D222" s="84" t="n">
        <x:v>2028</x:v>
      </x:c>
      <x:c r="E222" s="84" t="str">
        <x:v>Entrar en etapa de cierre de obra</x:v>
      </x:c>
      <x:c r="F222" s="84" t="str">
        <x:v>Obra</x:v>
      </x:c>
      <x:c r="G222" s="84" t="str">
        <x:v>Control de obra</x:v>
      </x:c>
      <x:c r="H222" s="84" t="str">
        <x:v>Dirección de obra / Constructora / Socios</x:v>
      </x:c>
      <x:c r="I222" s="84" t="str">
        <x:v>Pendiente</x:v>
      </x:c>
      <x:c r="J222" s="84" t="str">
        <x:v>Alta</x:v>
      </x:c>
      <x:c r="K222" s="85" t="str"/>
    </x:row>
    <x:row r="223" ht="36" customHeight="1">
      <x:c r="A223" s="83" t="n">
        <x:v>283</x:v>
      </x:c>
      <x:c r="B223" s="101" t="n">
        <x:v>46997</x:v>
      </x:c>
      <x:c r="C223" s="84" t="str">
        <x:v>Septiembre</x:v>
      </x:c>
      <x:c r="D223" s="84" t="n">
        <x:v>2028</x:v>
      </x:c>
      <x:c r="E223" s="84" t="str">
        <x:v>Corregir detalles</x:v>
      </x:c>
      <x:c r="F223" s="84" t="str">
        <x:v>Obra</x:v>
      </x:c>
      <x:c r="G223" s="84" t="str">
        <x:v>Control de obra</x:v>
      </x:c>
      <x:c r="H223" s="84" t="str">
        <x:v>Dirección de obra / Constructora / Socios</x:v>
      </x:c>
      <x:c r="I223" s="84" t="str">
        <x:v>Pendiente</x:v>
      </x:c>
      <x:c r="J223" s="84" t="str">
        <x:v>Alta</x:v>
      </x:c>
      <x:c r="K223" s="85" t="str"/>
    </x:row>
    <x:row r="224" ht="36" customHeight="1">
      <x:c r="A224" s="83" t="n">
        <x:v>284</x:v>
      </x:c>
      <x:c r="B224" s="101" t="n">
        <x:v>46997</x:v>
      </x:c>
      <x:c r="C224" s="84" t="str">
        <x:v>Septiembre</x:v>
      </x:c>
      <x:c r="D224" s="84" t="n">
        <x:v>2028</x:v>
      </x:c>
      <x:c r="E224" s="84" t="str">
        <x:v>Iniciar limpieza fina</x:v>
      </x:c>
      <x:c r="F224" s="84" t="str">
        <x:v>Obra</x:v>
      </x:c>
      <x:c r="G224" s="84" t="str">
        <x:v>Control de obra</x:v>
      </x:c>
      <x:c r="H224" s="84" t="str">
        <x:v>Dirección de obra / Constructora / Socios</x:v>
      </x:c>
      <x:c r="I224" s="84" t="str">
        <x:v>Pendiente</x:v>
      </x:c>
      <x:c r="J224" s="84" t="str">
        <x:v>Alta</x:v>
      </x:c>
      <x:c r="K224" s="85" t="str"/>
    </x:row>
    <x:row r="225" ht="36" customHeight="1">
      <x:c r="A225" s="83" t="n">
        <x:v>285</x:v>
      </x:c>
      <x:c r="B225" s="101" t="n">
        <x:v>46997</x:v>
      </x:c>
      <x:c r="C225" s="84" t="str">
        <x:v>Septiembre</x:v>
      </x:c>
      <x:c r="D225" s="84" t="n">
        <x:v>2028</x:v>
      </x:c>
      <x:c r="E225" s="84" t="str">
        <x:v>Revisar cada unidad: pisos</x:v>
      </x:c>
      <x:c r="F225" s="84" t="str">
        <x:v>Obra</x:v>
      </x:c>
      <x:c r="G225" s="84" t="str">
        <x:v>Control de obra</x:v>
      </x:c>
      <x:c r="H225" s="84" t="str">
        <x:v>Dirección de obra / Constructora / Socios</x:v>
      </x:c>
      <x:c r="I225" s="84" t="str">
        <x:v>Pendiente</x:v>
      </x:c>
      <x:c r="J225" s="84" t="str">
        <x:v>Alta</x:v>
      </x:c>
      <x:c r="K225" s="85" t="str"/>
    </x:row>
    <x:row r="226" ht="36" customHeight="1">
      <x:c r="A226" s="83" t="n">
        <x:v>286</x:v>
      </x:c>
      <x:c r="B226" s="101" t="n">
        <x:v>46997</x:v>
      </x:c>
      <x:c r="C226" s="84" t="str">
        <x:v>Septiembre</x:v>
      </x:c>
      <x:c r="D226" s="84" t="n">
        <x:v>2028</x:v>
      </x:c>
      <x:c r="E226" s="84" t="str">
        <x:v>Revisar cada unidad: paredes</x:v>
      </x:c>
      <x:c r="F226" s="84" t="str">
        <x:v>Obra</x:v>
      </x:c>
      <x:c r="G226" s="84" t="str">
        <x:v>Control de obra</x:v>
      </x:c>
      <x:c r="H226" s="84" t="str">
        <x:v>Dirección de obra / Constructora / Socios</x:v>
      </x:c>
      <x:c r="I226" s="84" t="str">
        <x:v>Pendiente</x:v>
      </x:c>
      <x:c r="J226" s="84" t="str">
        <x:v>Alta</x:v>
      </x:c>
      <x:c r="K226" s="85" t="str"/>
    </x:row>
    <x:row r="227" ht="36" customHeight="1">
      <x:c r="A227" s="83" t="n">
        <x:v>287</x:v>
      </x:c>
      <x:c r="B227" s="101" t="n">
        <x:v>46997</x:v>
      </x:c>
      <x:c r="C227" s="84" t="str">
        <x:v>Septiembre</x:v>
      </x:c>
      <x:c r="D227" s="84" t="n">
        <x:v>2028</x:v>
      </x:c>
      <x:c r="E227" s="84" t="str">
        <x:v>Revisar cada unidad: aberturas</x:v>
      </x:c>
      <x:c r="F227" s="84" t="str">
        <x:v>Obra</x:v>
      </x:c>
      <x:c r="G227" s="84" t="str">
        <x:v>Control de obra</x:v>
      </x:c>
      <x:c r="H227" s="84" t="str">
        <x:v>Dirección de obra / Constructora / Socios</x:v>
      </x:c>
      <x:c r="I227" s="84" t="str">
        <x:v>Pendiente</x:v>
      </x:c>
      <x:c r="J227" s="84" t="str">
        <x:v>Alta</x:v>
      </x:c>
      <x:c r="K227" s="85" t="str"/>
    </x:row>
    <x:row r="228" ht="36" customHeight="1">
      <x:c r="A228" s="83" t="n">
        <x:v>288</x:v>
      </x:c>
      <x:c r="B228" s="101" t="n">
        <x:v>46997</x:v>
      </x:c>
      <x:c r="C228" s="84" t="str">
        <x:v>Septiembre</x:v>
      </x:c>
      <x:c r="D228" s="84" t="n">
        <x:v>2028</x:v>
      </x:c>
      <x:c r="E228" s="84" t="str">
        <x:v>Revisar cada unidad: griferías</x:v>
      </x:c>
      <x:c r="F228" s="84" t="str">
        <x:v>Obra</x:v>
      </x:c>
      <x:c r="G228" s="84" t="str">
        <x:v>Control de obra</x:v>
      </x:c>
      <x:c r="H228" s="84" t="str">
        <x:v>Dirección de obra / Constructora / Socios</x:v>
      </x:c>
      <x:c r="I228" s="84" t="str">
        <x:v>Pendiente</x:v>
      </x:c>
      <x:c r="J228" s="84" t="str">
        <x:v>Alta</x:v>
      </x:c>
      <x:c r="K228" s="85" t="str"/>
    </x:row>
    <x:row r="229" ht="36" customHeight="1">
      <x:c r="A229" s="83" t="n">
        <x:v>289</x:v>
      </x:c>
      <x:c r="B229" s="101" t="n">
        <x:v>46997</x:v>
      </x:c>
      <x:c r="C229" s="84" t="str">
        <x:v>Septiembre</x:v>
      </x:c>
      <x:c r="D229" s="84" t="n">
        <x:v>2028</x:v>
      </x:c>
      <x:c r="E229" s="84" t="str">
        <x:v>Revisar cada unidad: artefactos</x:v>
      </x:c>
      <x:c r="F229" s="84" t="str">
        <x:v>Obra</x:v>
      </x:c>
      <x:c r="G229" s="84" t="str">
        <x:v>Control de obra</x:v>
      </x:c>
      <x:c r="H229" s="84" t="str">
        <x:v>Dirección de obra / Constructora / Socios</x:v>
      </x:c>
      <x:c r="I229" s="84" t="str">
        <x:v>Pendiente</x:v>
      </x:c>
      <x:c r="J229" s="84" t="str">
        <x:v>Alta</x:v>
      </x:c>
      <x:c r="K229" s="85" t="str"/>
    </x:row>
    <x:row r="230" ht="36" customHeight="1">
      <x:c r="A230" s="83" t="n">
        <x:v>290</x:v>
      </x:c>
      <x:c r="B230" s="101" t="n">
        <x:v>46997</x:v>
      </x:c>
      <x:c r="C230" s="84" t="str">
        <x:v>Septiembre</x:v>
      </x:c>
      <x:c r="D230" s="84" t="n">
        <x:v>2028</x:v>
      </x:c>
      <x:c r="E230" s="84" t="str">
        <x:v>Revisar cada unidad: instalación eléctrica</x:v>
      </x:c>
      <x:c r="F230" s="84" t="str">
        <x:v>Obra</x:v>
      </x:c>
      <x:c r="G230" s="84" t="str">
        <x:v>Control de obra</x:v>
      </x:c>
      <x:c r="H230" s="84" t="str">
        <x:v>Dirección de obra / Constructora / Socios</x:v>
      </x:c>
      <x:c r="I230" s="84" t="str">
        <x:v>Pendiente</x:v>
      </x:c>
      <x:c r="J230" s="84" t="str">
        <x:v>Alta</x:v>
      </x:c>
      <x:c r="K230" s="85" t="str"/>
    </x:row>
    <x:row r="231" ht="36" customHeight="1">
      <x:c r="A231" s="83" t="n">
        <x:v>291</x:v>
      </x:c>
      <x:c r="B231" s="101" t="n">
        <x:v>46997</x:v>
      </x:c>
      <x:c r="C231" s="84" t="str">
        <x:v>Septiembre</x:v>
      </x:c>
      <x:c r="D231" s="84" t="n">
        <x:v>2028</x:v>
      </x:c>
      <x:c r="E231" s="84" t="str">
        <x:v>Revisar cada unidad: humedades</x:v>
      </x:c>
      <x:c r="F231" s="84" t="str">
        <x:v>Obra</x:v>
      </x:c>
      <x:c r="G231" s="84" t="str">
        <x:v>Control de obra</x:v>
      </x:c>
      <x:c r="H231" s="84" t="str">
        <x:v>Dirección de obra / Constructora / Socios</x:v>
      </x:c>
      <x:c r="I231" s="84" t="str">
        <x:v>Pendiente</x:v>
      </x:c>
      <x:c r="J231" s="84" t="str">
        <x:v>Alta</x:v>
      </x:c>
      <x:c r="K231" s="85" t="str"/>
    </x:row>
    <x:row r="232" ht="36" customHeight="1">
      <x:c r="A232" s="83" t="n">
        <x:v>292</x:v>
      </x:c>
      <x:c r="B232" s="101" t="n">
        <x:v>46997</x:v>
      </x:c>
      <x:c r="C232" s="84" t="str">
        <x:v>Septiembre</x:v>
      </x:c>
      <x:c r="D232" s="84" t="n">
        <x:v>2028</x:v>
      </x:c>
      <x:c r="E232" s="84" t="str">
        <x:v>Revisar cada unidad: pendientes de pintura</x:v>
      </x:c>
      <x:c r="F232" s="84" t="str">
        <x:v>Obra</x:v>
      </x:c>
      <x:c r="G232" s="84" t="str">
        <x:v>Control de obra</x:v>
      </x:c>
      <x:c r="H232" s="84" t="str">
        <x:v>Dirección de obra / Constructora / Socios</x:v>
      </x:c>
      <x:c r="I232" s="84" t="str">
        <x:v>Pendiente</x:v>
      </x:c>
      <x:c r="J232" s="84" t="str">
        <x:v>Alta</x:v>
      </x:c>
      <x:c r="K232" s="85" t="str"/>
    </x:row>
    <x:row r="233" ht="36" customHeight="1">
      <x:c r="A233" s="83" t="n">
        <x:v>293</x:v>
      </x:c>
      <x:c r="B233" s="101" t="n">
        <x:v>46997</x:v>
      </x:c>
      <x:c r="C233" s="84" t="str">
        <x:v>Septiembre</x:v>
      </x:c>
      <x:c r="D233" s="84" t="n">
        <x:v>2028</x:v>
      </x:c>
      <x:c r="E233" s="84" t="str">
        <x:v>Finalizar espacios comunes</x:v>
      </x:c>
      <x:c r="F233" s="84" t="str">
        <x:v>Obra</x:v>
      </x:c>
      <x:c r="G233" s="84" t="str">
        <x:v>Espacios comunes</x:v>
      </x:c>
      <x:c r="H233" s="84" t="str">
        <x:v>Constructora</x:v>
      </x:c>
      <x:c r="I233" s="84" t="str">
        <x:v>Pendiente</x:v>
      </x:c>
      <x:c r="J233" s="84" t="str">
        <x:v>Alta</x:v>
      </x:c>
      <x:c r="K233" s="85" t="str"/>
    </x:row>
    <x:row r="234" ht="36" customHeight="1">
      <x:c r="A234" s="83" t="n">
        <x:v>294</x:v>
      </x:c>
      <x:c r="B234" s="101" t="n">
        <x:v>46997</x:v>
      </x:c>
      <x:c r="C234" s="84" t="str">
        <x:v>Septiembre</x:v>
      </x:c>
      <x:c r="D234" s="84" t="n">
        <x:v>2028</x:v>
      </x:c>
      <x:c r="E234" s="84" t="str">
        <x:v>Finalizar fachada</x:v>
      </x:c>
      <x:c r="F234" s="84" t="str">
        <x:v>Obra</x:v>
      </x:c>
      <x:c r="G234" s="84" t="str">
        <x:v>Fachada</x:v>
      </x:c>
      <x:c r="H234" s="84" t="str">
        <x:v>Constructora</x:v>
      </x:c>
      <x:c r="I234" s="84" t="str">
        <x:v>Pendiente</x:v>
      </x:c>
      <x:c r="J234" s="84" t="str">
        <x:v>Alta</x:v>
      </x:c>
      <x:c r="K234" s="85" t="str"/>
    </x:row>
    <x:row r="235" ht="36" customHeight="1">
      <x:c r="A235" s="83" t="n">
        <x:v>297</x:v>
      </x:c>
      <x:c r="B235" s="101" t="n">
        <x:v>47027</x:v>
      </x:c>
      <x:c r="C235" s="84" t="str">
        <x:v>Octubre</x:v>
      </x:c>
      <x:c r="D235" s="84" t="n">
        <x:v>2028</x:v>
      </x:c>
      <x:c r="E235" s="84" t="str">
        <x:v>Alcanzar final de obra técnico o etapa muy cercana</x:v>
      </x:c>
      <x:c r="F235" s="84" t="str">
        <x:v>Obra</x:v>
      </x:c>
      <x:c r="G235" s="84" t="str">
        <x:v>Cierre de obra</x:v>
      </x:c>
      <x:c r="H235" s="84" t="str">
        <x:v>Socios / Constructora / Gestora</x:v>
      </x:c>
      <x:c r="I235" s="84" t="str">
        <x:v>Pendiente</x:v>
      </x:c>
      <x:c r="J235" s="84" t="str">
        <x:v>Crítica</x:v>
      </x:c>
      <x:c r="K235" s="85" t="str"/>
    </x:row>
    <x:row r="236" ht="36" customHeight="1">
      <x:c r="A236" s="83" t="n">
        <x:v>298</x:v>
      </x:c>
      <x:c r="B236" s="101" t="n">
        <x:v>47027</x:v>
      </x:c>
      <x:c r="C236" s="84" t="str">
        <x:v>Octubre</x:v>
      </x:c>
      <x:c r="D236" s="84" t="n">
        <x:v>2028</x:v>
      </x:c>
      <x:c r="E236" s="84" t="str">
        <x:v>Realizar inspecciones</x:v>
      </x:c>
      <x:c r="F236" s="84" t="str">
        <x:v>Obra</x:v>
      </x:c>
      <x:c r="G236" s="84" t="str">
        <x:v>Cierre de obra</x:v>
      </x:c>
      <x:c r="H236" s="84" t="str">
        <x:v>Socios / Constructora / Gestora</x:v>
      </x:c>
      <x:c r="I236" s="84" t="str">
        <x:v>Pendiente</x:v>
      </x:c>
      <x:c r="J236" s="84" t="str">
        <x:v>Crítica</x:v>
      </x:c>
      <x:c r="K236" s="85" t="str"/>
    </x:row>
    <x:row r="237" ht="36" customHeight="1">
      <x:c r="A237" s="83" t="n">
        <x:v>299</x:v>
      </x:c>
      <x:c r="B237" s="101" t="n">
        <x:v>47027</x:v>
      </x:c>
      <x:c r="C237" s="84" t="str">
        <x:v>Octubre</x:v>
      </x:c>
      <x:c r="D237" s="84" t="n">
        <x:v>2028</x:v>
      </x:c>
      <x:c r="E237" s="84" t="str">
        <x:v>Corregir observaciones</x:v>
      </x:c>
      <x:c r="F237" s="84" t="str">
        <x:v>Obra</x:v>
      </x:c>
      <x:c r="G237" s="84" t="str">
        <x:v>Cierre de obra</x:v>
      </x:c>
      <x:c r="H237" s="84" t="str">
        <x:v>Socios / Constructora / Gestora</x:v>
      </x:c>
      <x:c r="I237" s="84" t="str">
        <x:v>Pendiente</x:v>
      </x:c>
      <x:c r="J237" s="84" t="str">
        <x:v>Crítica</x:v>
      </x:c>
      <x:c r="K237" s="85" t="str"/>
    </x:row>
    <x:row r="238" ht="36" customHeight="1">
      <x:c r="A238" s="83" t="n">
        <x:v>300</x:v>
      </x:c>
      <x:c r="B238" s="101" t="n">
        <x:v>47027</x:v>
      </x:c>
      <x:c r="C238" s="84" t="str">
        <x:v>Octubre</x:v>
      </x:c>
      <x:c r="D238" s="84" t="n">
        <x:v>2028</x:v>
      </x:c>
      <x:c r="E238" s="84" t="str">
        <x:v>Realizar limpieza fina</x:v>
      </x:c>
      <x:c r="F238" s="84" t="str">
        <x:v>Obra</x:v>
      </x:c>
      <x:c r="G238" s="84" t="str">
        <x:v>Cierre de obra</x:v>
      </x:c>
      <x:c r="H238" s="84" t="str">
        <x:v>Socios / Constructora / Gestora</x:v>
      </x:c>
      <x:c r="I238" s="84" t="str">
        <x:v>Pendiente</x:v>
      </x:c>
      <x:c r="J238" s="84" t="str">
        <x:v>Crítica</x:v>
      </x:c>
      <x:c r="K238" s="85" t="str"/>
    </x:row>
    <x:row r="239" ht="36" customHeight="1">
      <x:c r="A239" s="83" t="n">
        <x:v>301</x:v>
      </x:c>
      <x:c r="B239" s="101" t="n">
        <x:v>47027</x:v>
      </x:c>
      <x:c r="C239" s="84" t="str">
        <x:v>Octubre</x:v>
      </x:c>
      <x:c r="D239" s="84" t="n">
        <x:v>2028</x:v>
      </x:c>
      <x:c r="E239" s="84" t="str">
        <x:v>Poner en marcha ascensor</x:v>
      </x:c>
      <x:c r="F239" s="84" t="str">
        <x:v>Obra</x:v>
      </x:c>
      <x:c r="G239" s="84" t="str">
        <x:v>Cierre de obra</x:v>
      </x:c>
      <x:c r="H239" s="84" t="str">
        <x:v>Socios / Constructora / Gestora</x:v>
      </x:c>
      <x:c r="I239" s="84" t="str">
        <x:v>Pendiente</x:v>
      </x:c>
      <x:c r="J239" s="84" t="str">
        <x:v>Crítica</x:v>
      </x:c>
      <x:c r="K239" s="85" t="str"/>
    </x:row>
    <x:row r="240" ht="36" customHeight="1">
      <x:c r="A240" s="83" t="n">
        <x:v>302</x:v>
      </x:c>
      <x:c r="B240" s="101" t="n">
        <x:v>47027</x:v>
      </x:c>
      <x:c r="C240" s="84" t="str">
        <x:v>Octubre</x:v>
      </x:c>
      <x:c r="D240" s="84" t="n">
        <x:v>2028</x:v>
      </x:c>
      <x:c r="E240" s="84" t="str">
        <x:v>Poner en marcha bombas, tanques, tableros y sistemas comunes</x:v>
      </x:c>
      <x:c r="F240" s="84" t="str">
        <x:v>Obra</x:v>
      </x:c>
      <x:c r="G240" s="84" t="str">
        <x:v>Cierre de obra</x:v>
      </x:c>
      <x:c r="H240" s="84" t="str">
        <x:v>Socios / Constructora / Gestora</x:v>
      </x:c>
      <x:c r="I240" s="84" t="str">
        <x:v>Pendiente</x:v>
      </x:c>
      <x:c r="J240" s="84" t="str">
        <x:v>Crítica</x:v>
      </x:c>
      <x:c r="K240" s="85" t="str"/>
    </x:row>
    <x:row r="241" ht="36" customHeight="1">
      <x:c r="A241" s="83" t="n">
        <x:v>303</x:v>
      </x:c>
      <x:c r="B241" s="101" t="n">
        <x:v>47027</x:v>
      </x:c>
      <x:c r="C241" s="84" t="str">
        <x:v>Octubre</x:v>
      </x:c>
      <x:c r="D241" s="84" t="n">
        <x:v>2028</x:v>
      </x:c>
      <x:c r="E241" s="84" t="str">
        <x:v>Cerrar contratos con gremios</x:v>
      </x:c>
      <x:c r="F241" s="84" t="str">
        <x:v>Obra</x:v>
      </x:c>
      <x:c r="G241" s="84" t="str">
        <x:v>Cierre de obra</x:v>
      </x:c>
      <x:c r="H241" s="84" t="str">
        <x:v>Socios / Constructora / Gestora</x:v>
      </x:c>
      <x:c r="I241" s="84" t="str">
        <x:v>Pendiente</x:v>
      </x:c>
      <x:c r="J241" s="84" t="str">
        <x:v>Crítica</x:v>
      </x:c>
      <x:c r="K241" s="85" t="str"/>
    </x:row>
    <x:row r="242" ht="36" customHeight="1">
      <x:c r="A242" s="83" t="n">
        <x:v>304</x:v>
      </x:c>
      <x:c r="B242" s="101" t="n">
        <x:v>47027</x:v>
      </x:c>
      <x:c r="C242" s="84" t="str">
        <x:v>Octubre</x:v>
      </x:c>
      <x:c r="D242" s="84" t="n">
        <x:v>2028</x:v>
      </x:c>
      <x:c r="E242" s="84" t="str">
        <x:v>Revisar garantías de proveedores</x:v>
      </x:c>
      <x:c r="F242" s="84" t="str">
        <x:v>Obra</x:v>
      </x:c>
      <x:c r="G242" s="84" t="str">
        <x:v>Cierre de obra</x:v>
      </x:c>
      <x:c r="H242" s="84" t="str">
        <x:v>Socios / Constructora / Gestora</x:v>
      </x:c>
      <x:c r="I242" s="84" t="str">
        <x:v>Pendiente</x:v>
      </x:c>
      <x:c r="J242" s="84" t="str">
        <x:v>Crítica</x:v>
      </x:c>
      <x:c r="K242" s="85" t="str"/>
    </x:row>
    <x:row r="243" ht="36" customHeight="1">
      <x:c r="A243" s="83" t="n">
        <x:v>305</x:v>
      </x:c>
      <x:c r="B243" s="101" t="n">
        <x:v>47027</x:v>
      </x:c>
      <x:c r="C243" s="84" t="str">
        <x:v>Octubre</x:v>
      </x:c>
      <x:c r="D243" s="84" t="n">
        <x:v>2028</x:v>
      </x:c>
      <x:c r="E243" s="84" t="str">
        <x:v>Preparar manual de uso para propietarios</x:v>
      </x:c>
      <x:c r="F243" s="84" t="str">
        <x:v>Obra</x:v>
      </x:c>
      <x:c r="G243" s="84" t="str">
        <x:v>Cierre de obra</x:v>
      </x:c>
      <x:c r="H243" s="84" t="str">
        <x:v>Socios / Constructora / Gestora</x:v>
      </x:c>
      <x:c r="I243" s="84" t="str">
        <x:v>Pendiente</x:v>
      </x:c>
      <x:c r="J243" s="84" t="str">
        <x:v>Crítica</x:v>
      </x:c>
      <x:c r="K243" s="85" t="str"/>
    </x:row>
    <x:row r="244" ht="36" customHeight="1">
      <x:c r="A244" s="83" t="n">
        <x:v>306</x:v>
      </x:c>
      <x:c r="B244" s="101" t="n">
        <x:v>47027</x:v>
      </x:c>
      <x:c r="C244" s="84" t="str">
        <x:v>Octubre</x:v>
      </x:c>
      <x:c r="D244" s="84" t="n">
        <x:v>2028</x:v>
      </x:c>
      <x:c r="E244" s="84" t="str">
        <x:v>Organizar entregas</x:v>
      </x:c>
      <x:c r="F244" s="84" t="str">
        <x:v>Obra</x:v>
      </x:c>
      <x:c r="G244" s="84" t="str">
        <x:v>Cierre de obra</x:v>
      </x:c>
      <x:c r="H244" s="84" t="str">
        <x:v>Socios / Constructora / Gestora</x:v>
      </x:c>
      <x:c r="I244" s="84" t="str">
        <x:v>Pendiente</x:v>
      </x:c>
      <x:c r="J244" s="84" t="str">
        <x:v>Crítica</x:v>
      </x:c>
      <x:c r="K244" s="85" t="str"/>
    </x:row>
    <x:row r="245" ht="36" customHeight="1">
      <x:c r="A245" s="83" t="n">
        <x:v>307</x:v>
      </x:c>
      <x:c r="B245" s="101" t="n">
        <x:v>47027</x:v>
      </x:c>
      <x:c r="C245" s="84" t="str">
        <x:v>Octubre</x:v>
      </x:c>
      <x:c r="D245" s="84" t="n">
        <x:v>2028</x:v>
      </x:c>
      <x:c r="E245" s="84" t="str">
        <x:v>Definir expensas iniciales si corresponde</x:v>
      </x:c>
      <x:c r="F245" s="84" t="str">
        <x:v>Obra</x:v>
      </x:c>
      <x:c r="G245" s="84" t="str">
        <x:v>Cierre de obra</x:v>
      </x:c>
      <x:c r="H245" s="84" t="str">
        <x:v>Socios / Constructora / Gestora</x:v>
      </x:c>
      <x:c r="I245" s="84" t="str">
        <x:v>Pendiente</x:v>
      </x:c>
      <x:c r="J245" s="84" t="str">
        <x:v>Crítica</x:v>
      </x:c>
      <x:c r="K245" s="85" t="str"/>
    </x:row>
    <x:row r="246" ht="36" customHeight="1">
      <x:c r="A246" s="83" t="n">
        <x:v>308</x:v>
      </x:c>
      <x:c r="B246" s="101" t="n">
        <x:v>47027</x:v>
      </x:c>
      <x:c r="C246" s="84" t="str">
        <x:v>Octubre</x:v>
      </x:c>
      <x:c r="D246" s="84" t="n">
        <x:v>2028</x:v>
      </x:c>
      <x:c r="E246" s="84" t="str">
        <x:v>Contactar administración de consorcio si aplica</x:v>
      </x:c>
      <x:c r="F246" s="84" t="str">
        <x:v>Obra</x:v>
      </x:c>
      <x:c r="G246" s="84" t="str">
        <x:v>Cierre de obra</x:v>
      </x:c>
      <x:c r="H246" s="84" t="str">
        <x:v>Socios / Constructora / Gestora</x:v>
      </x:c>
      <x:c r="I246" s="84" t="str">
        <x:v>Pendiente</x:v>
      </x:c>
      <x:c r="J246" s="84" t="str">
        <x:v>Crítica</x:v>
      </x:c>
      <x:c r="K246" s="85" t="str"/>
    </x:row>
    <x:row r="247" ht="36" customHeight="1">
      <x:c r="A247" s="83" t="n">
        <x:v>309</x:v>
      </x:c>
      <x:c r="B247" s="101" t="n">
        <x:v>47058</x:v>
      </x:c>
      <x:c r="C247" s="84" t="str">
        <x:v>Noviembre</x:v>
      </x:c>
      <x:c r="D247" s="84" t="n">
        <x:v>2028</x:v>
      </x:c>
      <x:c r="E247" s="84" t="str">
        <x:v>Obtener final de obra o avanzar tramo final del trámite</x:v>
      </x:c>
      <x:c r="F247" s="84" t="str">
        <x:v>Tramitación</x:v>
      </x:c>
      <x:c r="G247" s="84" t="str">
        <x:v>Municipalidad</x:v>
      </x:c>
      <x:c r="H247" s="84" t="str">
        <x:v>Gestora / Rodrigo</x:v>
      </x:c>
      <x:c r="I247" s="84" t="str">
        <x:v>Pendiente</x:v>
      </x:c>
      <x:c r="J247" s="84" t="str">
        <x:v>Crítica</x:v>
      </x:c>
      <x:c r="K247" s="85" t="str"/>
    </x:row>
    <x:row r="248" ht="36" customHeight="1">
      <x:c r="A248" s="83" t="n">
        <x:v>310</x:v>
      </x:c>
      <x:c r="B248" s="101" t="n">
        <x:v>47058</x:v>
      </x:c>
      <x:c r="C248" s="84" t="str">
        <x:v>Noviembre</x:v>
      </x:c>
      <x:c r="D248" s="84" t="n">
        <x:v>2028</x:v>
      </x:c>
      <x:c r="E248" s="84" t="str">
        <x:v>Realizar entrega técnica de unidades</x:v>
      </x:c>
      <x:c r="F248" s="84" t="str">
        <x:v>Entrega</x:v>
      </x:c>
      <x:c r="G248" s="84" t="str">
        <x:v>Entrega</x:v>
      </x:c>
      <x:c r="H248" s="84" t="str">
        <x:v>Socios / Constructora / Compradores</x:v>
      </x:c>
      <x:c r="I248" s="84" t="str">
        <x:v>Pendiente</x:v>
      </x:c>
      <x:c r="J248" s="84" t="str">
        <x:v>Crítica</x:v>
      </x:c>
      <x:c r="K248" s="85" t="str"/>
    </x:row>
    <x:row r="249" ht="36" customHeight="1">
      <x:c r="A249" s="83" t="n">
        <x:v>311</x:v>
      </x:c>
      <x:c r="B249" s="101" t="n">
        <x:v>47058</x:v>
      </x:c>
      <x:c r="C249" s="84" t="str">
        <x:v>Noviembre</x:v>
      </x:c>
      <x:c r="D249" s="84" t="n">
        <x:v>2028</x:v>
      </x:c>
      <x:c r="E249" s="84" t="str">
        <x:v>Realizar recorridas con compradores</x:v>
      </x:c>
      <x:c r="F249" s="84" t="str">
        <x:v>Entrega</x:v>
      </x:c>
      <x:c r="G249" s="84" t="str">
        <x:v>Entrega</x:v>
      </x:c>
      <x:c r="H249" s="84" t="str">
        <x:v>Socios / Constructora / Compradores</x:v>
      </x:c>
      <x:c r="I249" s="84" t="str">
        <x:v>Pendiente</x:v>
      </x:c>
      <x:c r="J249" s="84" t="str">
        <x:v>Crítica</x:v>
      </x:c>
      <x:c r="K249" s="85" t="str"/>
    </x:row>
    <x:row r="250" ht="36" customHeight="1">
      <x:c r="A250" s="83" t="n">
        <x:v>312</x:v>
      </x:c>
      <x:c r="B250" s="101" t="n">
        <x:v>47058</x:v>
      </x:c>
      <x:c r="C250" s="84" t="str">
        <x:v>Noviembre</x:v>
      </x:c>
      <x:c r="D250" s="84" t="n">
        <x:v>2028</x:v>
      </x:c>
      <x:c r="E250" s="84" t="str">
        <x:v>Firmar actas de posesión si corresponde</x:v>
      </x:c>
      <x:c r="F250" s="84" t="str">
        <x:v>Entrega</x:v>
      </x:c>
      <x:c r="G250" s="84" t="str">
        <x:v>Entrega</x:v>
      </x:c>
      <x:c r="H250" s="84" t="str">
        <x:v>Socios / Constructora / Compradores</x:v>
      </x:c>
      <x:c r="I250" s="84" t="str">
        <x:v>Pendiente</x:v>
      </x:c>
      <x:c r="J250" s="84" t="str">
        <x:v>Crítica</x:v>
      </x:c>
      <x:c r="K250" s="85" t="str"/>
    </x:row>
    <x:row r="251" ht="36" customHeight="1">
      <x:c r="A251" s="83" t="n">
        <x:v>313</x:v>
      </x:c>
      <x:c r="B251" s="101" t="n">
        <x:v>47058</x:v>
      </x:c>
      <x:c r="C251" s="84" t="str">
        <x:v>Noviembre</x:v>
      </x:c>
      <x:c r="D251" s="84" t="n">
        <x:v>2028</x:v>
      </x:c>
      <x:c r="E251" s="84" t="str">
        <x:v>Corregir observaciones de compradores</x:v>
      </x:c>
      <x:c r="F251" s="84" t="str">
        <x:v>Entrega</x:v>
      </x:c>
      <x:c r="G251" s="84" t="str">
        <x:v>Entrega</x:v>
      </x:c>
      <x:c r="H251" s="84" t="str">
        <x:v>Socios / Constructora / Compradores</x:v>
      </x:c>
      <x:c r="I251" s="84" t="str">
        <x:v>Pendiente</x:v>
      </x:c>
      <x:c r="J251" s="84" t="str">
        <x:v>Crítica</x:v>
      </x:c>
      <x:c r="K251" s="85" t="str"/>
    </x:row>
    <x:row r="252" ht="36" customHeight="1">
      <x:c r="A252" s="83" t="n">
        <x:v>315</x:v>
      </x:c>
      <x:c r="B252" s="101" t="n">
        <x:v>47058</x:v>
      </x:c>
      <x:c r="C252" s="84" t="str">
        <x:v>Noviembre</x:v>
      </x:c>
      <x:c r="D252" s="84" t="n">
        <x:v>2028</x:v>
      </x:c>
      <x:c r="E252" s="84" t="str">
        <x:v>Preparar escrituraciones individuales si corresponde</x:v>
      </x:c>
      <x:c r="F252" s="84" t="str">
        <x:v>Legal / Entrega</x:v>
      </x:c>
      <x:c r="G252" s="84" t="str">
        <x:v>Legal</x:v>
      </x:c>
      <x:c r="H252" s="84" t="str">
        <x:v>Legal / Socios / Gestora</x:v>
      </x:c>
      <x:c r="I252" s="84" t="str">
        <x:v>Pendiente</x:v>
      </x:c>
      <x:c r="J252" s="84" t="str">
        <x:v>Alta</x:v>
      </x:c>
      <x:c r="K252" s="85" t="str"/>
    </x:row>
    <x:row r="253" ht="36" customHeight="1">
      <x:c r="A253" s="83" t="n">
        <x:v>316</x:v>
      </x:c>
      <x:c r="B253" s="101" t="n">
        <x:v>47058</x:v>
      </x:c>
      <x:c r="C253" s="84" t="str">
        <x:v>Noviembre</x:v>
      </x:c>
      <x:c r="D253" s="84" t="n">
        <x:v>2028</x:v>
      </x:c>
      <x:c r="E253" s="84" t="str">
        <x:v>Ordenar planos conforme a obra</x:v>
      </x:c>
      <x:c r="F253" s="84" t="str">
        <x:v>Legal / Entrega</x:v>
      </x:c>
      <x:c r="G253" s="84" t="str">
        <x:v>Legal</x:v>
      </x:c>
      <x:c r="H253" s="84" t="str">
        <x:v>Legal / Socios / Gestora</x:v>
      </x:c>
      <x:c r="I253" s="84" t="str">
        <x:v>Pendiente</x:v>
      </x:c>
      <x:c r="J253" s="84" t="str">
        <x:v>Alta</x:v>
      </x:c>
      <x:c r="K253" s="85" t="str"/>
    </x:row>
    <x:row r="254" ht="36" customHeight="1">
      <x:c r="A254" s="83" t="n">
        <x:v>317</x:v>
      </x:c>
      <x:c r="B254" s="101" t="n">
        <x:v>47058</x:v>
      </x:c>
      <x:c r="C254" s="84" t="str">
        <x:v>Noviembre</x:v>
      </x:c>
      <x:c r="D254" s="84" t="n">
        <x:v>2028</x:v>
      </x:c>
      <x:c r="E254" s="84" t="str">
        <x:v>Ordenar garantías</x:v>
      </x:c>
      <x:c r="F254" s="84" t="str">
        <x:v>Legal / Entrega</x:v>
      </x:c>
      <x:c r="G254" s="84" t="str">
        <x:v>Legal</x:v>
      </x:c>
      <x:c r="H254" s="84" t="str">
        <x:v>Legal / Socios / Gestora</x:v>
      </x:c>
      <x:c r="I254" s="84" t="str">
        <x:v>Pendiente</x:v>
      </x:c>
      <x:c r="J254" s="84" t="str">
        <x:v>Alta</x:v>
      </x:c>
      <x:c r="K254" s="85" t="str"/>
    </x:row>
    <x:row r="255" ht="36" customHeight="1">
      <x:c r="A255" s="83" t="n">
        <x:v>318</x:v>
      </x:c>
      <x:c r="B255" s="101" t="n">
        <x:v>47058</x:v>
      </x:c>
      <x:c r="C255" s="84" t="str">
        <x:v>Noviembre</x:v>
      </x:c>
      <x:c r="D255" s="84" t="n">
        <x:v>2028</x:v>
      </x:c>
      <x:c r="E255" s="84" t="str">
        <x:v>Ordenar manuales</x:v>
      </x:c>
      <x:c r="F255" s="84" t="str">
        <x:v>Legal / Entrega</x:v>
      </x:c>
      <x:c r="G255" s="84" t="str">
        <x:v>Legal</x:v>
      </x:c>
      <x:c r="H255" s="84" t="str">
        <x:v>Legal / Socios / Gestora</x:v>
      </x:c>
      <x:c r="I255" s="84" t="str">
        <x:v>Pendiente</x:v>
      </x:c>
      <x:c r="J255" s="84" t="str">
        <x:v>Alta</x:v>
      </x:c>
      <x:c r="K255" s="85" t="str"/>
    </x:row>
    <x:row r="256" ht="36" customHeight="1">
      <x:c r="A256" s="83" t="n">
        <x:v>319</x:v>
      </x:c>
      <x:c r="B256" s="101" t="n">
        <x:v>47058</x:v>
      </x:c>
      <x:c r="C256" s="84" t="str">
        <x:v>Noviembre</x:v>
      </x:c>
      <x:c r="D256" s="84" t="n">
        <x:v>2028</x:v>
      </x:c>
      <x:c r="E256" s="84" t="str">
        <x:v>Ordenar certificados</x:v>
      </x:c>
      <x:c r="F256" s="84" t="str">
        <x:v>Legal / Entrega</x:v>
      </x:c>
      <x:c r="G256" s="84" t="str">
        <x:v>Legal</x:v>
      </x:c>
      <x:c r="H256" s="84" t="str">
        <x:v>Legal / Socios / Gestora</x:v>
      </x:c>
      <x:c r="I256" s="84" t="str">
        <x:v>Pendiente</x:v>
      </x:c>
      <x:c r="J256" s="84" t="str">
        <x:v>Alta</x:v>
      </x:c>
      <x:c r="K256" s="85" t="str"/>
    </x:row>
    <x:row r="257" ht="36" customHeight="1">
      <x:c r="A257" s="83" t="n">
        <x:v>320</x:v>
      </x:c>
      <x:c r="B257" s="101" t="n">
        <x:v>47058</x:v>
      </x:c>
      <x:c r="C257" s="84" t="str">
        <x:v>Noviembre</x:v>
      </x:c>
      <x:c r="D257" s="84" t="n">
        <x:v>2028</x:v>
      </x:c>
      <x:c r="E257" s="84" t="str">
        <x:v>Ordenar liquidaciones</x:v>
      </x:c>
      <x:c r="F257" s="84" t="str">
        <x:v>Legal / Entrega</x:v>
      </x:c>
      <x:c r="G257" s="84" t="str">
        <x:v>Legal</x:v>
      </x:c>
      <x:c r="H257" s="84" t="str">
        <x:v>Legal / Socios / Gestora</x:v>
      </x:c>
      <x:c r="I257" s="84" t="str">
        <x:v>Pendiente</x:v>
      </x:c>
      <x:c r="J257" s="84" t="str">
        <x:v>Alta</x:v>
      </x:c>
      <x:c r="K257" s="85" t="str"/>
    </x:row>
    <x:row r="258" ht="36" customHeight="1">
      <x:c r="A258" s="83" t="n">
        <x:v>321</x:v>
      </x:c>
      <x:c r="B258" s="101" t="n">
        <x:v>47088</x:v>
      </x:c>
      <x:c r="C258" s="84" t="str">
        <x:v>Diciembre</x:v>
      </x:c>
      <x:c r="D258" s="84" t="n">
        <x:v>2028</x:v>
      </x:c>
      <x:c r="E258" s="84" t="str">
        <x:v>Entregar formalmente unidades</x:v>
      </x:c>
      <x:c r="F258" s="84" t="str">
        <x:v>Entrega</x:v>
      </x:c>
      <x:c r="G258" s="84" t="str">
        <x:v>Entrega</x:v>
      </x:c>
      <x:c r="H258" s="84" t="str">
        <x:v>Socios / Compradores</x:v>
      </x:c>
      <x:c r="I258" s="84" t="str">
        <x:v>Pendiente</x:v>
      </x:c>
      <x:c r="J258" s="84" t="str">
        <x:v>Crítica</x:v>
      </x:c>
      <x:c r="K258" s="85" t="str"/>
    </x:row>
    <x:row r="259" ht="36" customHeight="1">
      <x:c r="A259" s="83" t="n">
        <x:v>322</x:v>
      </x:c>
      <x:c r="B259" s="101" t="n">
        <x:v>47088</x:v>
      </x:c>
      <x:c r="C259" s="84" t="str">
        <x:v>Diciembre</x:v>
      </x:c>
      <x:c r="D259" s="84" t="n">
        <x:v>2028</x:v>
      </x:c>
      <x:c r="E259" s="84" t="str">
        <x:v>Dar posesión a compradores</x:v>
      </x:c>
      <x:c r="F259" s="84" t="str">
        <x:v>Entrega</x:v>
      </x:c>
      <x:c r="G259" s="84" t="str">
        <x:v>Entrega</x:v>
      </x:c>
      <x:c r="H259" s="84" t="str">
        <x:v>Socios / Compradores</x:v>
      </x:c>
      <x:c r="I259" s="84" t="str">
        <x:v>Pendiente</x:v>
      </x:c>
      <x:c r="J259" s="84" t="str">
        <x:v>Crítica</x:v>
      </x:c>
      <x:c r="K259" s="85" t="str"/>
    </x:row>
    <x:row r="260" ht="36" customHeight="1">
      <x:c r="A260" s="83" t="n">
        <x:v>323</x:v>
      </x:c>
      <x:c r="B260" s="101" t="n">
        <x:v>47088</x:v>
      </x:c>
      <x:c r="C260" s="84" t="str">
        <x:v>Diciembre</x:v>
      </x:c>
      <x:c r="D260" s="84" t="n">
        <x:v>2028</x:v>
      </x:c>
      <x:c r="E260" s="84" t="str">
        <x:v>Cerrar operativamente la obra</x:v>
      </x:c>
      <x:c r="F260" s="84" t="str">
        <x:v>Obra</x:v>
      </x:c>
      <x:c r="G260" s="84" t="str">
        <x:v>Cierre de obra</x:v>
      </x:c>
      <x:c r="H260" s="84" t="str">
        <x:v>Socios / Constructora</x:v>
      </x:c>
      <x:c r="I260" s="84" t="str">
        <x:v>Pendiente</x:v>
      </x:c>
      <x:c r="J260" s="84" t="str">
        <x:v>Alta</x:v>
      </x:c>
      <x:c r="K260" s="85" t="str"/>
    </x:row>
    <x:row r="261" ht="36" customHeight="1">
      <x:c r="A261" s="83" t="n">
        <x:v>324</x:v>
      </x:c>
      <x:c r="B261" s="101" t="n">
        <x:v>47088</x:v>
      </x:c>
      <x:c r="C261" s="84" t="str">
        <x:v>Diciembre</x:v>
      </x:c>
      <x:c r="D261" s="84" t="n">
        <x:v>2028</x:v>
      </x:c>
      <x:c r="E261" s="84" t="str">
        <x:v>Liquidar final con constructora y proveedores</x:v>
      </x:c>
      <x:c r="F261" s="84" t="str">
        <x:v>Obra</x:v>
      </x:c>
      <x:c r="G261" s="84" t="str">
        <x:v>Cierre de obra</x:v>
      </x:c>
      <x:c r="H261" s="84" t="str">
        <x:v>Socios / Constructora</x:v>
      </x:c>
      <x:c r="I261" s="84" t="str">
        <x:v>Pendiente</x:v>
      </x:c>
      <x:c r="J261" s="84" t="str">
        <x:v>Alta</x:v>
      </x:c>
      <x:c r="K261" s="85" t="str"/>
    </x:row>
    <x:row r="262" ht="36" customHeight="1">
      <x:c r="A262" s="83" t="n">
        <x:v>333</x:v>
      </x:c>
      <x:c r="B262" s="101" t="n">
        <x:v>47088</x:v>
      </x:c>
      <x:c r="C262" s="84" t="str">
        <x:v>Diciembre</x:v>
      </x:c>
      <x:c r="D262" s="84" t="n">
        <x:v>2028</x:v>
      </x:c>
      <x:c r="E262" s="84" t="str">
        <x:v>Resolver detalles post-entrega</x:v>
      </x:c>
      <x:c r="F262" s="84" t="str">
        <x:v>Postventa</x:v>
      </x:c>
      <x:c r="G262" s="84" t="str">
        <x:v>Postventa</x:v>
      </x:c>
      <x:c r="H262" s="84" t="str">
        <x:v>Socios / Constructora</x:v>
      </x:c>
      <x:c r="I262" s="84" t="str">
        <x:v>Pendiente</x:v>
      </x:c>
      <x:c r="J262" s="84" t="str">
        <x:v>Media</x:v>
      </x:c>
      <x:c r="K262" s="85" t="str"/>
    </x:row>
    <x:row r="263" ht="36" customHeight="1">
      <x:c r="A263" s="83" t="n">
        <x:v>337</x:v>
      </x:c>
      <x:c r="B263" s="101" t="n">
        <x:v>47119</x:v>
      </x:c>
      <x:c r="C263" s="84" t="str">
        <x:v>Enero</x:v>
      </x:c>
      <x:c r="D263" s="84" t="n">
        <x:v>2029</x:v>
      </x:c>
      <x:c r="E263" s="84" t="str">
        <x:v>Realizar ajustes menores post-entrega</x:v>
      </x:c>
      <x:c r="F263" s="84" t="str">
        <x:v>Postventa</x:v>
      </x:c>
      <x:c r="G263" s="84" t="str">
        <x:v>Postventa</x:v>
      </x:c>
      <x:c r="H263" s="84" t="str">
        <x:v>Socios / Constructora / Administración</x:v>
      </x:c>
      <x:c r="I263" s="84" t="str">
        <x:v>Pendiente</x:v>
      </x:c>
      <x:c r="J263" s="84" t="str">
        <x:v>Alta</x:v>
      </x:c>
      <x:c r="K263" s="85" t="str"/>
    </x:row>
    <x:row r="264" ht="36" customHeight="1">
      <x:c r="A264" s="83" t="n">
        <x:v>339</x:v>
      </x:c>
      <x:c r="B264" s="101" t="n">
        <x:v>47119</x:v>
      </x:c>
      <x:c r="C264" s="84" t="str">
        <x:v>Enero</x:v>
      </x:c>
      <x:c r="D264" s="84" t="n">
        <x:v>2029</x:v>
      </x:c>
      <x:c r="E264" s="84" t="str">
        <x:v>Cerrar documentación pendiente</x:v>
      </x:c>
      <x:c r="F264" s="84" t="str">
        <x:v>Legal / Entrega</x:v>
      </x:c>
      <x:c r="G264" s="84" t="str">
        <x:v>Legal</x:v>
      </x:c>
      <x:c r="H264" s="84" t="str">
        <x:v>Legal / Administración</x:v>
      </x:c>
      <x:c r="I264" s="84" t="str">
        <x:v>Pendiente</x:v>
      </x:c>
      <x:c r="J264" s="84" t="str">
        <x:v>Alta</x:v>
      </x:c>
      <x:c r="K264" s="85" t="str"/>
    </x:row>
    <x:row r="265" ht="36" customHeight="1">
      <x:c r="A265" s="83" t="n">
        <x:v>340</x:v>
      </x:c>
      <x:c r="B265" s="101" t="n">
        <x:v>47119</x:v>
      </x:c>
      <x:c r="C265" s="84" t="str">
        <x:v>Enero</x:v>
      </x:c>
      <x:c r="D265" s="84" t="n">
        <x:v>2029</x:v>
      </x:c>
      <x:c r="E265" s="84" t="str">
        <x:v>Regularizar consorcio si aplica</x:v>
      </x:c>
      <x:c r="F265" s="84" t="str">
        <x:v>Legal / Entrega</x:v>
      </x:c>
      <x:c r="G265" s="84" t="str">
        <x:v>Legal</x:v>
      </x:c>
      <x:c r="H265" s="84" t="str">
        <x:v>Legal / Administración</x:v>
      </x:c>
      <x:c r="I265" s="84" t="str">
        <x:v>Pendiente</x:v>
      </x:c>
      <x:c r="J265" s="84" t="str">
        <x:v>Alta</x:v>
      </x:c>
      <x:c r="K265" s="85" t="str"/>
    </x:row>
    <x:row r="266" ht="36" customHeight="1">
      <x:c r="A266" s="86" t="n">
        <x:v>341</x:v>
      </x:c>
      <x:c r="B266" s="102" t="n">
        <x:v>47119</x:v>
      </x:c>
      <x:c r="C266" s="87" t="str">
        <x:v>Enero</x:v>
      </x:c>
      <x:c r="D266" s="87" t="n">
        <x:v>2029</x:v>
      </x:c>
      <x:c r="E266" s="87" t="str">
        <x:v>Cobrar últimos saldos pendientes</x:v>
      </x:c>
      <x:c r="F266" s="87" t="str">
        <x:v>Finanzas</x:v>
      </x:c>
      <x:c r="G266" s="87" t="str">
        <x:v>Finanzas</x:v>
      </x:c>
      <x:c r="H266" s="87" t="str">
        <x:v>Socios / Administración</x:v>
      </x:c>
      <x:c r="I266" s="87" t="str">
        <x:v>Pendiente</x:v>
      </x:c>
      <x:c r="J266" s="87" t="str">
        <x:v>Alta</x:v>
      </x:c>
      <x:c r="K266" s="88" t="str"/>
    </x:row>
  </x:sheetData>
  <x:conditionalFormatting sqref="I2:I266">
    <x:cfRule type="containsText" dxfId="18" priority="1" operator="containsText" text="Completado"/>
    <x:cfRule type="containsText" dxfId="19" priority="2" operator="containsText" text="En curso"/>
    <x:cfRule type="containsText" dxfId="20" priority="3" operator="containsText" text="Pendiente"/>
    <x:cfRule type="containsText" dxfId="21" priority="4" operator="containsText" text="Bloqueado"/>
  </x:conditionalFormatting>
  <x:conditionalFormatting sqref="J2:J266">
    <x:cfRule type="containsText" dxfId="22" priority="5" operator="containsText" text="Crítica"/>
    <x:cfRule type="containsText" dxfId="23" priority="6" operator="containsText" text="Alta"/>
  </x:conditionalFormatting>
  <x:pageMargins left="0.7" right="0.7" top="0.75" bottom="0.75" header="0.3" footer="0.3"/>
  <x:tableParts count="1">
    <x:tablePart xmlns:r="http://schemas.openxmlformats.org/officeDocument/2006/relationships" r:id="Rf9ea2e20ea2a4af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4" hidden="0" customWidth="1"/>
    <x:col min="5" max="5" width="14" hidden="0" customWidth="1"/>
    <x:col min="6" max="6" width="10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</x:cols>
  <x:sheetData>
    <x:row r="1" ht="24" customHeight="1">
      <x:c r="A1" s="97" t="str">
        <x:v>Etapa</x:v>
      </x:c>
      <x:c r="B1" s="98" t="str">
        <x:v>Rubro</x:v>
      </x:c>
      <x:c r="C1" s="98" t="str">
        <x:v>Responsable principal</x:v>
      </x:c>
      <x:c r="D1" s="98" t="str">
        <x:v>Inicio</x:v>
      </x:c>
      <x:c r="E1" s="98" t="str">
        <x:v>Fin</x:v>
      </x:c>
      <x:c r="F1" s="98" t="str">
        <x:v>Total</x:v>
      </x:c>
      <x:c r="G1" s="98" t="str">
        <x:v>May-26</x:v>
      </x:c>
      <x:c r="H1" s="98" t="str">
        <x:v>Jun-26</x:v>
      </x:c>
      <x:c r="I1" s="98" t="str">
        <x:v>Jul-26</x:v>
      </x:c>
      <x:c r="J1" s="98" t="str">
        <x:v>Ago-26</x:v>
      </x:c>
      <x:c r="K1" s="98" t="str">
        <x:v>Sep-26</x:v>
      </x:c>
      <x:c r="L1" s="98" t="str">
        <x:v>Oct-26</x:v>
      </x:c>
      <x:c r="M1" s="98" t="str">
        <x:v>Nov-26</x:v>
      </x:c>
      <x:c r="N1" s="98" t="str">
        <x:v>Dic-26</x:v>
      </x:c>
      <x:c r="O1" s="98" t="str">
        <x:v>Ene-27</x:v>
      </x:c>
      <x:c r="P1" s="98" t="str">
        <x:v>Feb-27</x:v>
      </x:c>
      <x:c r="Q1" s="98" t="str">
        <x:v>Mar-27</x:v>
      </x:c>
      <x:c r="R1" s="98" t="str">
        <x:v>Abr-27</x:v>
      </x:c>
      <x:c r="S1" s="98" t="str">
        <x:v>May-27</x:v>
      </x:c>
      <x:c r="T1" s="98" t="str">
        <x:v>Jun-27</x:v>
      </x:c>
      <x:c r="U1" s="98" t="str">
        <x:v>Jul-27</x:v>
      </x:c>
      <x:c r="V1" s="98" t="str">
        <x:v>Ago-27</x:v>
      </x:c>
      <x:c r="W1" s="98" t="str">
        <x:v>Sep-27</x:v>
      </x:c>
      <x:c r="X1" s="98" t="str">
        <x:v>Oct-27</x:v>
      </x:c>
      <x:c r="Y1" s="98" t="str">
        <x:v>Nov-27</x:v>
      </x:c>
      <x:c r="Z1" s="98" t="str">
        <x:v>Dic-27</x:v>
      </x:c>
      <x:c r="AA1" s="98" t="str">
        <x:v>Ene-28</x:v>
      </x:c>
      <x:c r="AB1" s="98" t="str">
        <x:v>Feb-28</x:v>
      </x:c>
      <x:c r="AC1" s="98" t="str">
        <x:v>Mar-28</x:v>
      </x:c>
      <x:c r="AD1" s="98" t="str">
        <x:v>Abr-28</x:v>
      </x:c>
      <x:c r="AE1" s="98" t="str">
        <x:v>May-28</x:v>
      </x:c>
      <x:c r="AF1" s="98" t="str">
        <x:v>Jun-28</x:v>
      </x:c>
      <x:c r="AG1" s="98" t="str">
        <x:v>Jul-28</x:v>
      </x:c>
      <x:c r="AH1" s="98" t="str">
        <x:v>Ago-28</x:v>
      </x:c>
      <x:c r="AI1" s="98" t="str">
        <x:v>Sep-28</x:v>
      </x:c>
      <x:c r="AJ1" s="98" t="str">
        <x:v>Oct-28</x:v>
      </x:c>
      <x:c r="AK1" s="98" t="str">
        <x:v>Nov-28</x:v>
      </x:c>
      <x:c r="AL1" s="98" t="str">
        <x:v>Dic-28</x:v>
      </x:c>
      <x:c r="AM1" s="98" t="str">
        <x:v>Ene-29</x:v>
      </x:c>
      <x:c r="AN1" s="98" t="str">
        <x:v>Feb-29</x:v>
      </x:c>
    </x:row>
    <x:row r="2" ht="22" customHeight="1">
      <x:c r="A2" s="83" t="str">
        <x:v>Compra / Escritura</x:v>
      </x:c>
      <x:c r="B2" s="84" t="str">
        <x:v>Legal</x:v>
      </x:c>
      <x:c r="C2" s="84" t="str">
        <x:v>Socios</x:v>
      </x:c>
      <x:c r="D2" s="84" t="str">
        <x:v>Mayo 2026</x:v>
      </x:c>
      <x:c r="E2" s="84" t="str">
        <x:v>Julio 2026</x:v>
      </x:c>
      <x:c r="F2" s="84" t="n">
        <x:v>3</x:v>
      </x:c>
      <x:c r="G2" s="84" t="n">
        <x:v>1</x:v>
      </x:c>
      <x:c r="H2" s="84" t="n">
        <x:v>1</x:v>
      </x:c>
      <x:c r="I2" s="84" t="n">
        <x:v>1</x:v>
      </x:c>
      <x:c r="J2" s="84" t="str"/>
      <x:c r="K2" s="84" t="str"/>
      <x:c r="L2" s="84" t="str"/>
      <x:c r="M2" s="84" t="str"/>
      <x:c r="N2" s="84" t="str"/>
      <x:c r="O2" s="84" t="str"/>
      <x:c r="P2" s="84" t="str"/>
      <x:c r="Q2" s="84" t="str"/>
      <x:c r="R2" s="84" t="str"/>
      <x:c r="S2" s="84" t="str"/>
      <x:c r="T2" s="84" t="str"/>
      <x:c r="U2" s="84" t="str"/>
      <x:c r="V2" s="84" t="str"/>
      <x:c r="W2" s="84" t="str"/>
      <x:c r="X2" s="84" t="str"/>
      <x:c r="Y2" s="84" t="str"/>
      <x:c r="Z2" s="84" t="str"/>
      <x:c r="AA2" s="84" t="str"/>
      <x:c r="AB2" s="84" t="str"/>
      <x:c r="AC2" s="84" t="str"/>
      <x:c r="AD2" s="84" t="str"/>
      <x:c r="AE2" s="84" t="str"/>
      <x:c r="AF2" s="84" t="str"/>
      <x:c r="AG2" s="84" t="str"/>
      <x:c r="AH2" s="84" t="str"/>
      <x:c r="AI2" s="84" t="str"/>
      <x:c r="AJ2" s="84" t="str"/>
      <x:c r="AK2" s="84" t="str"/>
      <x:c r="AL2" s="84" t="str"/>
      <x:c r="AM2" s="84" t="str"/>
      <x:c r="AN2" s="85" t="str"/>
    </x:row>
    <x:row r="3" ht="22" customHeight="1">
      <x:c r="A3" s="83" t="str">
        <x:v>Preobra</x:v>
      </x:c>
      <x:c r="B3" s="84" t="str">
        <x:v>Suelos</x:v>
      </x:c>
      <x:c r="C3" s="84" t="str">
        <x:v>Socios</x:v>
      </x:c>
      <x:c r="D3" s="84" t="str">
        <x:v>Mayo 2026</x:v>
      </x:c>
      <x:c r="E3" s="84" t="str">
        <x:v>Mayo 2026</x:v>
      </x:c>
      <x:c r="F3" s="84" t="n">
        <x:v>1</x:v>
      </x:c>
      <x:c r="G3" s="84" t="n">
        <x:v>1</x:v>
      </x:c>
      <x:c r="H3" s="84" t="str"/>
      <x:c r="I3" s="84" t="str"/>
      <x:c r="J3" s="84" t="str"/>
      <x:c r="K3" s="84" t="str"/>
      <x:c r="L3" s="84" t="str"/>
      <x:c r="M3" s="84" t="str"/>
      <x:c r="N3" s="84" t="str"/>
      <x:c r="O3" s="84" t="str"/>
      <x:c r="P3" s="84" t="str"/>
      <x:c r="Q3" s="84" t="str"/>
      <x:c r="R3" s="84" t="str"/>
      <x:c r="S3" s="84" t="str"/>
      <x:c r="T3" s="84" t="str"/>
      <x:c r="U3" s="84" t="str"/>
      <x:c r="V3" s="84" t="str"/>
      <x:c r="W3" s="84" t="str"/>
      <x:c r="X3" s="84" t="str"/>
      <x:c r="Y3" s="84" t="str"/>
      <x:c r="Z3" s="84" t="str"/>
      <x:c r="AA3" s="84" t="str"/>
      <x:c r="AB3" s="84" t="str"/>
      <x:c r="AC3" s="84" t="str"/>
      <x:c r="AD3" s="84" t="str"/>
      <x:c r="AE3" s="84" t="str"/>
      <x:c r="AF3" s="84" t="str"/>
      <x:c r="AG3" s="84" t="str"/>
      <x:c r="AH3" s="84" t="str"/>
      <x:c r="AI3" s="84" t="str"/>
      <x:c r="AJ3" s="84" t="str"/>
      <x:c r="AK3" s="84" t="str"/>
      <x:c r="AL3" s="84" t="str"/>
      <x:c r="AM3" s="84" t="str"/>
      <x:c r="AN3" s="85" t="str"/>
    </x:row>
    <x:row r="4" ht="22" customHeight="1">
      <x:c r="A4" s="83" t="str">
        <x:v>Proyecto</x:v>
      </x:c>
      <x:c r="B4" s="84" t="str">
        <x:v>Técnico</x:v>
      </x:c>
      <x:c r="C4" s="84" t="str">
        <x:v>Socios</x:v>
      </x:c>
      <x:c r="D4" s="84" t="str">
        <x:v>Mayo 2026</x:v>
      </x:c>
      <x:c r="E4" s="84" t="str">
        <x:v>Mayo 2026</x:v>
      </x:c>
      <x:c r="F4" s="84" t="n">
        <x:v>3</x:v>
      </x:c>
      <x:c r="G4" s="84" t="n">
        <x:v>3</x:v>
      </x:c>
      <x:c r="H4" s="84" t="str"/>
      <x:c r="I4" s="84" t="str"/>
      <x:c r="J4" s="84" t="str"/>
      <x:c r="K4" s="84" t="str"/>
      <x:c r="L4" s="84" t="str"/>
      <x:c r="M4" s="84" t="str"/>
      <x:c r="N4" s="84" t="str"/>
      <x:c r="O4" s="84" t="str"/>
      <x:c r="P4" s="84" t="str"/>
      <x:c r="Q4" s="84" t="str"/>
      <x:c r="R4" s="84" t="str"/>
      <x:c r="S4" s="84" t="str"/>
      <x:c r="T4" s="84" t="str"/>
      <x:c r="U4" s="84" t="str"/>
      <x:c r="V4" s="84" t="str"/>
      <x:c r="W4" s="84" t="str"/>
      <x:c r="X4" s="84" t="str"/>
      <x:c r="Y4" s="84" t="str"/>
      <x:c r="Z4" s="84" t="str"/>
      <x:c r="AA4" s="84" t="str"/>
      <x:c r="AB4" s="84" t="str"/>
      <x:c r="AC4" s="84" t="str"/>
      <x:c r="AD4" s="84" t="str"/>
      <x:c r="AE4" s="84" t="str"/>
      <x:c r="AF4" s="84" t="str"/>
      <x:c r="AG4" s="84" t="str"/>
      <x:c r="AH4" s="84" t="str"/>
      <x:c r="AI4" s="84" t="str"/>
      <x:c r="AJ4" s="84" t="str"/>
      <x:c r="AK4" s="84" t="str"/>
      <x:c r="AL4" s="84" t="str"/>
      <x:c r="AM4" s="84" t="str"/>
      <x:c r="AN4" s="85" t="str"/>
    </x:row>
    <x:row r="5" ht="22" customHeight="1">
      <x:c r="A5" s="83" t="str">
        <x:v>Administración</x:v>
      </x:c>
      <x:c r="B5" s="84" t="str">
        <x:v>Finanzas / Legal</x:v>
      </x:c>
      <x:c r="C5" s="84" t="str">
        <x:v>Socios / Administración</x:v>
      </x:c>
      <x:c r="D5" s="84" t="str">
        <x:v>Junio 2026</x:v>
      </x:c>
      <x:c r="E5" s="84" t="str">
        <x:v>Noviembre 2026</x:v>
      </x:c>
      <x:c r="F5" s="84" t="n">
        <x:v>5</x:v>
      </x:c>
      <x:c r="G5" s="84" t="str"/>
      <x:c r="H5" s="84" t="n">
        <x:v>1</x:v>
      </x:c>
      <x:c r="I5" s="84" t="str"/>
      <x:c r="J5" s="84" t="str"/>
      <x:c r="K5" s="84" t="str"/>
      <x:c r="L5" s="84" t="str"/>
      <x:c r="M5" s="84" t="n">
        <x:v>4</x:v>
      </x:c>
      <x:c r="N5" s="84" t="str"/>
      <x:c r="O5" s="84" t="str"/>
      <x:c r="P5" s="84" t="str"/>
      <x:c r="Q5" s="84" t="str"/>
      <x:c r="R5" s="84" t="str"/>
      <x:c r="S5" s="84" t="str"/>
      <x:c r="T5" s="84" t="str"/>
      <x:c r="U5" s="84" t="str"/>
      <x:c r="V5" s="84" t="str"/>
      <x:c r="W5" s="84" t="str"/>
      <x:c r="X5" s="84" t="str"/>
      <x:c r="Y5" s="84" t="str"/>
      <x:c r="Z5" s="84" t="str"/>
      <x:c r="AA5" s="84" t="str"/>
      <x:c r="AB5" s="84" t="str"/>
      <x:c r="AC5" s="84" t="str"/>
      <x:c r="AD5" s="84" t="str"/>
      <x:c r="AE5" s="84" t="str"/>
      <x:c r="AF5" s="84" t="str"/>
      <x:c r="AG5" s="84" t="str"/>
      <x:c r="AH5" s="84" t="str"/>
      <x:c r="AI5" s="84" t="str"/>
      <x:c r="AJ5" s="84" t="str"/>
      <x:c r="AK5" s="84" t="str"/>
      <x:c r="AL5" s="84" t="str"/>
      <x:c r="AM5" s="84" t="str"/>
      <x:c r="AN5" s="85" t="str"/>
    </x:row>
    <x:row r="6" ht="22" customHeight="1">
      <x:c r="A6" s="83" t="str">
        <x:v>Finanzas</x:v>
      </x:c>
      <x:c r="B6" s="84" t="str">
        <x:v>Finanzas</x:v>
      </x:c>
      <x:c r="C6" s="84" t="str">
        <x:v>Socios</x:v>
      </x:c>
      <x:c r="D6" s="84" t="str">
        <x:v>Junio 2026</x:v>
      </x:c>
      <x:c r="E6" s="84" t="str">
        <x:v>Febrero 2029</x:v>
      </x:c>
      <x:c r="F6" s="84" t="n">
        <x:v>39</x:v>
      </x:c>
      <x:c r="G6" s="84" t="str"/>
      <x:c r="H6" s="84" t="n">
        <x:v>1</x:v>
      </x:c>
      <x:c r="I6" s="84" t="str"/>
      <x:c r="J6" s="84" t="str"/>
      <x:c r="K6" s="84" t="str"/>
      <x:c r="L6" s="84" t="n">
        <x:v>2</x:v>
      </x:c>
      <x:c r="M6" s="84" t="str"/>
      <x:c r="N6" s="84" t="n">
        <x:v>4</x:v>
      </x:c>
      <x:c r="O6" s="84" t="str"/>
      <x:c r="P6" s="84" t="n">
        <x:v>1</x:v>
      </x:c>
      <x:c r="Q6" s="84" t="n">
        <x:v>2</x:v>
      </x:c>
      <x:c r="R6" s="84" t="n">
        <x:v>1</x:v>
      </x:c>
      <x:c r="S6" s="84" t="n">
        <x:v>1</x:v>
      </x:c>
      <x:c r="T6" s="84" t="n">
        <x:v>2</x:v>
      </x:c>
      <x:c r="U6" s="84" t="str"/>
      <x:c r="V6" s="84" t="str"/>
      <x:c r="W6" s="84" t="str"/>
      <x:c r="X6" s="84" t="str"/>
      <x:c r="Y6" s="84" t="n">
        <x:v>1</x:v>
      </x:c>
      <x:c r="Z6" s="84" t="n">
        <x:v>6</x:v>
      </x:c>
      <x:c r="AA6" s="84" t="str"/>
      <x:c r="AB6" s="84" t="str"/>
      <x:c r="AC6" s="84" t="str"/>
      <x:c r="AD6" s="84" t="str"/>
      <x:c r="AE6" s="84" t="str"/>
      <x:c r="AF6" s="84" t="str"/>
      <x:c r="AG6" s="84" t="str"/>
      <x:c r="AH6" s="84" t="str"/>
      <x:c r="AI6" s="84" t="str"/>
      <x:c r="AJ6" s="84" t="str"/>
      <x:c r="AK6" s="84" t="str"/>
      <x:c r="AL6" s="84" t="n">
        <x:v>8</x:v>
      </x:c>
      <x:c r="AM6" s="84" t="n">
        <x:v>3</x:v>
      </x:c>
      <x:c r="AN6" s="85" t="n">
        <x:v>7</x:v>
      </x:c>
    </x:row>
    <x:row r="7" ht="22" customHeight="1">
      <x:c r="A7" s="83" t="str">
        <x:v>Proyecto</x:v>
      </x:c>
      <x:c r="B7" s="84" t="str">
        <x:v>Arquitectura</x:v>
      </x:c>
      <x:c r="C7" s="84" t="str">
        <x:v>Socios</x:v>
      </x:c>
      <x:c r="D7" s="84" t="str">
        <x:v>Junio 2026</x:v>
      </x:c>
      <x:c r="E7" s="84" t="str">
        <x:v>Julio 2026</x:v>
      </x:c>
      <x:c r="F7" s="84" t="n">
        <x:v>3</x:v>
      </x:c>
      <x:c r="G7" s="84" t="str"/>
      <x:c r="H7" s="84" t="n">
        <x:v>1</x:v>
      </x:c>
      <x:c r="I7" s="84" t="n">
        <x:v>2</x:v>
      </x:c>
      <x:c r="J7" s="84" t="str"/>
      <x:c r="K7" s="84" t="str"/>
      <x:c r="L7" s="84" t="str"/>
      <x:c r="M7" s="84" t="str"/>
      <x:c r="N7" s="84" t="str"/>
      <x:c r="O7" s="84" t="str"/>
      <x:c r="P7" s="84" t="str"/>
      <x:c r="Q7" s="84" t="str"/>
      <x:c r="R7" s="84" t="str"/>
      <x:c r="S7" s="84" t="str"/>
      <x:c r="T7" s="84" t="str"/>
      <x:c r="U7" s="84" t="str"/>
      <x:c r="V7" s="84" t="str"/>
      <x:c r="W7" s="84" t="str"/>
      <x:c r="X7" s="84" t="str"/>
      <x:c r="Y7" s="84" t="str"/>
      <x:c r="Z7" s="84" t="str"/>
      <x:c r="AA7" s="84" t="str"/>
      <x:c r="AB7" s="84" t="str"/>
      <x:c r="AC7" s="84" t="str"/>
      <x:c r="AD7" s="84" t="str"/>
      <x:c r="AE7" s="84" t="str"/>
      <x:c r="AF7" s="84" t="str"/>
      <x:c r="AG7" s="84" t="str"/>
      <x:c r="AH7" s="84" t="str"/>
      <x:c r="AI7" s="84" t="str"/>
      <x:c r="AJ7" s="84" t="str"/>
      <x:c r="AK7" s="84" t="str"/>
      <x:c r="AL7" s="84" t="str"/>
      <x:c r="AM7" s="84" t="str"/>
      <x:c r="AN7" s="85" t="str"/>
    </x:row>
    <x:row r="8" ht="22" customHeight="1">
      <x:c r="A8" s="83" t="str">
        <x:v>Proyecto</x:v>
      </x:c>
      <x:c r="B8" s="84" t="str">
        <x:v>Cálculo estructural</x:v>
      </x:c>
      <x:c r="C8" s="84" t="str">
        <x:v>Socios</x:v>
      </x:c>
      <x:c r="D8" s="84" t="str">
        <x:v>Junio 2026</x:v>
      </x:c>
      <x:c r="E8" s="84" t="str">
        <x:v>Junio 2026</x:v>
      </x:c>
      <x:c r="F8" s="84" t="n">
        <x:v>1</x:v>
      </x:c>
      <x:c r="G8" s="84" t="str"/>
      <x:c r="H8" s="84" t="n">
        <x:v>1</x:v>
      </x:c>
      <x:c r="I8" s="84" t="str"/>
      <x:c r="J8" s="84" t="str"/>
      <x:c r="K8" s="84" t="str"/>
      <x:c r="L8" s="84" t="str"/>
      <x:c r="M8" s="84" t="str"/>
      <x:c r="N8" s="84" t="str"/>
      <x:c r="O8" s="84" t="str"/>
      <x:c r="P8" s="84" t="str"/>
      <x:c r="Q8" s="84" t="str"/>
      <x:c r="R8" s="84" t="str"/>
      <x:c r="S8" s="84" t="str"/>
      <x:c r="T8" s="84" t="str"/>
      <x:c r="U8" s="84" t="str"/>
      <x:c r="V8" s="84" t="str"/>
      <x:c r="W8" s="84" t="str"/>
      <x:c r="X8" s="84" t="str"/>
      <x:c r="Y8" s="84" t="str"/>
      <x:c r="Z8" s="84" t="str"/>
      <x:c r="AA8" s="84" t="str"/>
      <x:c r="AB8" s="84" t="str"/>
      <x:c r="AC8" s="84" t="str"/>
      <x:c r="AD8" s="84" t="str"/>
      <x:c r="AE8" s="84" t="str"/>
      <x:c r="AF8" s="84" t="str"/>
      <x:c r="AG8" s="84" t="str"/>
      <x:c r="AH8" s="84" t="str"/>
      <x:c r="AI8" s="84" t="str"/>
      <x:c r="AJ8" s="84" t="str"/>
      <x:c r="AK8" s="84" t="str"/>
      <x:c r="AL8" s="84" t="str"/>
      <x:c r="AM8" s="84" t="str"/>
      <x:c r="AN8" s="85" t="str"/>
    </x:row>
    <x:row r="9" ht="22" customHeight="1">
      <x:c r="A9" s="83" t="str">
        <x:v>Proyecto</x:v>
      </x:c>
      <x:c r="B9" s="84" t="str">
        <x:v>Finanzas</x:v>
      </x:c>
      <x:c r="C9" s="84" t="str">
        <x:v>Socios</x:v>
      </x:c>
      <x:c r="D9" s="84" t="str">
        <x:v>Junio 2026</x:v>
      </x:c>
      <x:c r="E9" s="84" t="str">
        <x:v>Junio 2026</x:v>
      </x:c>
      <x:c r="F9" s="84" t="n">
        <x:v>1</x:v>
      </x:c>
      <x:c r="G9" s="84" t="str"/>
      <x:c r="H9" s="84" t="n">
        <x:v>1</x:v>
      </x:c>
      <x:c r="I9" s="84" t="str"/>
      <x:c r="J9" s="84" t="str"/>
      <x:c r="K9" s="84" t="str"/>
      <x:c r="L9" s="84" t="str"/>
      <x:c r="M9" s="84" t="str"/>
      <x:c r="N9" s="84" t="str"/>
      <x:c r="O9" s="84" t="str"/>
      <x:c r="P9" s="84" t="str"/>
      <x:c r="Q9" s="84" t="str"/>
      <x:c r="R9" s="84" t="str"/>
      <x:c r="S9" s="84" t="str"/>
      <x:c r="T9" s="84" t="str"/>
      <x:c r="U9" s="84" t="str"/>
      <x:c r="V9" s="84" t="str"/>
      <x:c r="W9" s="84" t="str"/>
      <x:c r="X9" s="84" t="str"/>
      <x:c r="Y9" s="84" t="str"/>
      <x:c r="Z9" s="84" t="str"/>
      <x:c r="AA9" s="84" t="str"/>
      <x:c r="AB9" s="84" t="str"/>
      <x:c r="AC9" s="84" t="str"/>
      <x:c r="AD9" s="84" t="str"/>
      <x:c r="AE9" s="84" t="str"/>
      <x:c r="AF9" s="84" t="str"/>
      <x:c r="AG9" s="84" t="str"/>
      <x:c r="AH9" s="84" t="str"/>
      <x:c r="AI9" s="84" t="str"/>
      <x:c r="AJ9" s="84" t="str"/>
      <x:c r="AK9" s="84" t="str"/>
      <x:c r="AL9" s="84" t="str"/>
      <x:c r="AM9" s="84" t="str"/>
      <x:c r="AN9" s="85" t="str"/>
    </x:row>
    <x:row r="10" ht="22" customHeight="1">
      <x:c r="A10" s="83" t="str">
        <x:v>Comercial</x:v>
      </x:c>
      <x:c r="B10" s="84" t="str">
        <x:v>Folletería</x:v>
      </x:c>
      <x:c r="C10" s="84" t="str">
        <x:v>Socios</x:v>
      </x:c>
      <x:c r="D10" s="84" t="str">
        <x:v>Julio 2026</x:v>
      </x:c>
      <x:c r="E10" s="84" t="str">
        <x:v>Julio 2026</x:v>
      </x:c>
      <x:c r="F10" s="84" t="n">
        <x:v>1</x:v>
      </x:c>
      <x:c r="G10" s="84" t="str"/>
      <x:c r="H10" s="84" t="str"/>
      <x:c r="I10" s="84" t="n">
        <x:v>1</x:v>
      </x:c>
      <x:c r="J10" s="84" t="str"/>
      <x:c r="K10" s="84" t="str"/>
      <x:c r="L10" s="84" t="str"/>
      <x:c r="M10" s="84" t="str"/>
      <x:c r="N10" s="84" t="str"/>
      <x:c r="O10" s="84" t="str"/>
      <x:c r="P10" s="84" t="str"/>
      <x:c r="Q10" s="84" t="str"/>
      <x:c r="R10" s="84" t="str"/>
      <x:c r="S10" s="84" t="str"/>
      <x:c r="T10" s="84" t="str"/>
      <x:c r="U10" s="84" t="str"/>
      <x:c r="V10" s="84" t="str"/>
      <x:c r="W10" s="84" t="str"/>
      <x:c r="X10" s="84" t="str"/>
      <x:c r="Y10" s="84" t="str"/>
      <x:c r="Z10" s="84" t="str"/>
      <x:c r="AA10" s="84" t="str"/>
      <x:c r="AB10" s="84" t="str"/>
      <x:c r="AC10" s="84" t="str"/>
      <x:c r="AD10" s="84" t="str"/>
      <x:c r="AE10" s="84" t="str"/>
      <x:c r="AF10" s="84" t="str"/>
      <x:c r="AG10" s="84" t="str"/>
      <x:c r="AH10" s="84" t="str"/>
      <x:c r="AI10" s="84" t="str"/>
      <x:c r="AJ10" s="84" t="str"/>
      <x:c r="AK10" s="84" t="str"/>
      <x:c r="AL10" s="84" t="str"/>
      <x:c r="AM10" s="84" t="str"/>
      <x:c r="AN10" s="85" t="str"/>
    </x:row>
    <x:row r="11" ht="22" customHeight="1">
      <x:c r="A11" s="83" t="str">
        <x:v>Comercial</x:v>
      </x:c>
      <x:c r="B11" s="84" t="str">
        <x:v>Marketing / Ventas</x:v>
      </x:c>
      <x:c r="C11" s="84" t="str">
        <x:v>Socios / Comercial</x:v>
      </x:c>
      <x:c r="D11" s="84" t="str">
        <x:v>Julio 2026</x:v>
      </x:c>
      <x:c r="E11" s="84" t="str">
        <x:v>Noviembre 2028</x:v>
      </x:c>
      <x:c r="F11" s="84" t="n">
        <x:v>44</x:v>
      </x:c>
      <x:c r="G11" s="84" t="str"/>
      <x:c r="H11" s="84" t="str"/>
      <x:c r="I11" s="84" t="n">
        <x:v>4</x:v>
      </x:c>
      <x:c r="J11" s="84" t="n">
        <x:v>5</x:v>
      </x:c>
      <x:c r="K11" s="84" t="n">
        <x:v>3</x:v>
      </x:c>
      <x:c r="L11" s="84" t="n">
        <x:v>4</x:v>
      </x:c>
      <x:c r="M11" s="84" t="n">
        <x:v>3</x:v>
      </x:c>
      <x:c r="N11" s="84" t="n">
        <x:v>1</x:v>
      </x:c>
      <x:c r="O11" s="84" t="n">
        <x:v>2</x:v>
      </x:c>
      <x:c r="P11" s="84" t="n">
        <x:v>2</x:v>
      </x:c>
      <x:c r="Q11" s="84" t="n">
        <x:v>1</x:v>
      </x:c>
      <x:c r="R11" s="84" t="n">
        <x:v>5</x:v>
      </x:c>
      <x:c r="S11" s="84" t="n">
        <x:v>2</x:v>
      </x:c>
      <x:c r="T11" s="84" t="n">
        <x:v>1</x:v>
      </x:c>
      <x:c r="U11" s="84" t="n">
        <x:v>3</x:v>
      </x:c>
      <x:c r="V11" s="84" t="n">
        <x:v>1</x:v>
      </x:c>
      <x:c r="W11" s="84" t="str"/>
      <x:c r="X11" s="84" t="n">
        <x:v>1</x:v>
      </x:c>
      <x:c r="Y11" s="84" t="n">
        <x:v>2</x:v>
      </x:c>
      <x:c r="Z11" s="84" t="str"/>
      <x:c r="AA11" s="84" t="n">
        <x:v>1</x:v>
      </x:c>
      <x:c r="AB11" s="84" t="str"/>
      <x:c r="AC11" s="84" t="n">
        <x:v>1</x:v>
      </x:c>
      <x:c r="AD11" s="84" t="n">
        <x:v>1</x:v>
      </x:c>
      <x:c r="AE11" s="84" t="str"/>
      <x:c r="AF11" s="84" t="str"/>
      <x:c r="AG11" s="84" t="str"/>
      <x:c r="AH11" s="84" t="str"/>
      <x:c r="AI11" s="84" t="str"/>
      <x:c r="AJ11" s="84" t="str"/>
      <x:c r="AK11" s="84" t="n">
        <x:v>1</x:v>
      </x:c>
      <x:c r="AL11" s="84" t="str"/>
      <x:c r="AM11" s="84" t="str"/>
      <x:c r="AN11" s="85" t="str"/>
    </x:row>
    <x:row r="12" ht="22" customHeight="1">
      <x:c r="A12" s="83" t="str">
        <x:v>Proyecto</x:v>
      </x:c>
      <x:c r="B12" s="84" t="str">
        <x:v>Documentación técnica</x:v>
      </x:c>
      <x:c r="C12" s="84" t="str">
        <x:v>Rodrigo / Calculista / Instaladores</x:v>
      </x:c>
      <x:c r="D12" s="84" t="str">
        <x:v>Agosto 2026</x:v>
      </x:c>
      <x:c r="E12" s="84" t="str">
        <x:v>Septiembre 2026</x:v>
      </x:c>
      <x:c r="F12" s="84" t="n">
        <x:v>7</x:v>
      </x:c>
      <x:c r="G12" s="84" t="str"/>
      <x:c r="H12" s="84" t="str"/>
      <x:c r="I12" s="84" t="str"/>
      <x:c r="J12" s="84" t="n">
        <x:v>6</x:v>
      </x:c>
      <x:c r="K12" s="84" t="n">
        <x:v>1</x:v>
      </x:c>
      <x:c r="L12" s="84" t="str"/>
      <x:c r="M12" s="84" t="str"/>
      <x:c r="N12" s="84" t="str"/>
      <x:c r="O12" s="84" t="str"/>
      <x:c r="P12" s="84" t="str"/>
      <x:c r="Q12" s="84" t="str"/>
      <x:c r="R12" s="84" t="str"/>
      <x:c r="S12" s="84" t="str"/>
      <x:c r="T12" s="84" t="str"/>
      <x:c r="U12" s="84" t="str"/>
      <x:c r="V12" s="84" t="str"/>
      <x:c r="W12" s="84" t="str"/>
      <x:c r="X12" s="84" t="str"/>
      <x:c r="Y12" s="84" t="str"/>
      <x:c r="Z12" s="84" t="str"/>
      <x:c r="AA12" s="84" t="str"/>
      <x:c r="AB12" s="84" t="str"/>
      <x:c r="AC12" s="84" t="str"/>
      <x:c r="AD12" s="84" t="str"/>
      <x:c r="AE12" s="84" t="str"/>
      <x:c r="AF12" s="84" t="str"/>
      <x:c r="AG12" s="84" t="str"/>
      <x:c r="AH12" s="84" t="str"/>
      <x:c r="AI12" s="84" t="str"/>
      <x:c r="AJ12" s="84" t="str"/>
      <x:c r="AK12" s="84" t="str"/>
      <x:c r="AL12" s="84" t="str"/>
      <x:c r="AM12" s="84" t="str"/>
      <x:c r="AN12" s="85" t="str"/>
    </x:row>
    <x:row r="13" ht="22" customHeight="1">
      <x:c r="A13" s="83" t="str">
        <x:v>Tramitación</x:v>
      </x:c>
      <x:c r="B13" s="84" t="str">
        <x:v>Municipalidad</x:v>
      </x:c>
      <x:c r="C13" s="84" t="str">
        <x:v>Gestora / Rodrigo</x:v>
      </x:c>
      <x:c r="D13" s="84" t="str">
        <x:v>Agosto 2026</x:v>
      </x:c>
      <x:c r="E13" s="84" t="str">
        <x:v>Noviembre 2028</x:v>
      </x:c>
      <x:c r="F13" s="84" t="n">
        <x:v>11</x:v>
      </x:c>
      <x:c r="G13" s="84" t="str"/>
      <x:c r="H13" s="84" t="str"/>
      <x:c r="I13" s="84" t="str"/>
      <x:c r="J13" s="84" t="n">
        <x:v>2</x:v>
      </x:c>
      <x:c r="K13" s="84" t="n">
        <x:v>2</x:v>
      </x:c>
      <x:c r="L13" s="84" t="n">
        <x:v>1</x:v>
      </x:c>
      <x:c r="M13" s="84" t="n">
        <x:v>1</x:v>
      </x:c>
      <x:c r="N13" s="84" t="n">
        <x:v>1</x:v>
      </x:c>
      <x:c r="O13" s="84" t="str"/>
      <x:c r="P13" s="84" t="str"/>
      <x:c r="Q13" s="84" t="str"/>
      <x:c r="R13" s="84" t="str"/>
      <x:c r="S13" s="84" t="str"/>
      <x:c r="T13" s="84" t="str"/>
      <x:c r="U13" s="84" t="str"/>
      <x:c r="V13" s="84" t="str"/>
      <x:c r="W13" s="84" t="str"/>
      <x:c r="X13" s="84" t="str"/>
      <x:c r="Y13" s="84" t="str"/>
      <x:c r="Z13" s="84" t="str"/>
      <x:c r="AA13" s="84" t="str"/>
      <x:c r="AB13" s="84" t="str"/>
      <x:c r="AC13" s="84" t="str"/>
      <x:c r="AD13" s="84" t="str"/>
      <x:c r="AE13" s="84" t="str"/>
      <x:c r="AF13" s="84" t="str"/>
      <x:c r="AG13" s="84" t="str"/>
      <x:c r="AH13" s="84" t="n">
        <x:v>1</x:v>
      </x:c>
      <x:c r="AI13" s="84" t="n">
        <x:v>2</x:v>
      </x:c>
      <x:c r="AJ13" s="84" t="str"/>
      <x:c r="AK13" s="84" t="n">
        <x:v>1</x:v>
      </x:c>
      <x:c r="AL13" s="84" t="str"/>
      <x:c r="AM13" s="84" t="str"/>
      <x:c r="AN13" s="85" t="str"/>
    </x:row>
    <x:row r="14" ht="22" customHeight="1">
      <x:c r="A14" s="83" t="str">
        <x:v>Obra</x:v>
      </x:c>
      <x:c r="B14" s="84" t="str">
        <x:v>Constructora</x:v>
      </x:c>
      <x:c r="C14" s="84" t="str">
        <x:v>Socios / Constructora / Dirección de obra</x:v>
      </x:c>
      <x:c r="D14" s="84" t="str">
        <x:v>Septiembre 2026</x:v>
      </x:c>
      <x:c r="E14" s="84" t="str">
        <x:v>Diciembre 2026</x:v>
      </x:c>
      <x:c r="F14" s="84" t="n">
        <x:v>15</x:v>
      </x:c>
      <x:c r="G14" s="84" t="str"/>
      <x:c r="H14" s="84" t="str"/>
      <x:c r="I14" s="84" t="str"/>
      <x:c r="J14" s="84" t="str"/>
      <x:c r="K14" s="84" t="n">
        <x:v>2</x:v>
      </x:c>
      <x:c r="L14" s="84" t="n">
        <x:v>2</x:v>
      </x:c>
      <x:c r="M14" s="84" t="n">
        <x:v>2</x:v>
      </x:c>
      <x:c r="N14" s="84" t="n">
        <x:v>9</x:v>
      </x:c>
      <x:c r="O14" s="84" t="str"/>
      <x:c r="P14" s="84" t="str"/>
      <x:c r="Q14" s="84" t="str"/>
      <x:c r="R14" s="84" t="str"/>
      <x:c r="S14" s="84" t="str"/>
      <x:c r="T14" s="84" t="str"/>
      <x:c r="U14" s="84" t="str"/>
      <x:c r="V14" s="84" t="str"/>
      <x:c r="W14" s="84" t="str"/>
      <x:c r="X14" s="84" t="str"/>
      <x:c r="Y14" s="84" t="str"/>
      <x:c r="Z14" s="84" t="str"/>
      <x:c r="AA14" s="84" t="str"/>
      <x:c r="AB14" s="84" t="str"/>
      <x:c r="AC14" s="84" t="str"/>
      <x:c r="AD14" s="84" t="str"/>
      <x:c r="AE14" s="84" t="str"/>
      <x:c r="AF14" s="84" t="str"/>
      <x:c r="AG14" s="84" t="str"/>
      <x:c r="AH14" s="84" t="str"/>
      <x:c r="AI14" s="84" t="str"/>
      <x:c r="AJ14" s="84" t="str"/>
      <x:c r="AK14" s="84" t="str"/>
      <x:c r="AL14" s="84" t="str"/>
      <x:c r="AM14" s="84" t="str"/>
      <x:c r="AN14" s="85" t="str"/>
    </x:row>
    <x:row r="15" ht="22" customHeight="1">
      <x:c r="A15" s="83" t="str">
        <x:v>Obra</x:v>
      </x:c>
      <x:c r="B15" s="84" t="str">
        <x:v>Obra preliminar</x:v>
      </x:c>
      <x:c r="C15" s="84" t="str">
        <x:v>Constructora</x:v>
      </x:c>
      <x:c r="D15" s="84" t="str">
        <x:v>Noviembre 2026</x:v>
      </x:c>
      <x:c r="E15" s="84" t="str">
        <x:v>Enero 2027</x:v>
      </x:c>
      <x:c r="F15" s="84" t="n">
        <x:v>15</x:v>
      </x:c>
      <x:c r="G15" s="84" t="str"/>
      <x:c r="H15" s="84" t="str"/>
      <x:c r="I15" s="84" t="str"/>
      <x:c r="J15" s="84" t="str"/>
      <x:c r="K15" s="84" t="str"/>
      <x:c r="L15" s="84" t="str"/>
      <x:c r="M15" s="84" t="n">
        <x:v>5</x:v>
      </x:c>
      <x:c r="N15" s="84" t="str"/>
      <x:c r="O15" s="84" t="n">
        <x:v>10</x:v>
      </x:c>
      <x:c r="P15" s="84" t="str"/>
      <x:c r="Q15" s="84" t="str"/>
      <x:c r="R15" s="84" t="str"/>
      <x:c r="S15" s="84" t="str"/>
      <x:c r="T15" s="84" t="str"/>
      <x:c r="U15" s="84" t="str"/>
      <x:c r="V15" s="84" t="str"/>
      <x:c r="W15" s="84" t="str"/>
      <x:c r="X15" s="84" t="str"/>
      <x:c r="Y15" s="84" t="str"/>
      <x:c r="Z15" s="84" t="str"/>
      <x:c r="AA15" s="84" t="str"/>
      <x:c r="AB15" s="84" t="str"/>
      <x:c r="AC15" s="84" t="str"/>
      <x:c r="AD15" s="84" t="str"/>
      <x:c r="AE15" s="84" t="str"/>
      <x:c r="AF15" s="84" t="str"/>
      <x:c r="AG15" s="84" t="str"/>
      <x:c r="AH15" s="84" t="str"/>
      <x:c r="AI15" s="84" t="str"/>
      <x:c r="AJ15" s="84" t="str"/>
      <x:c r="AK15" s="84" t="str"/>
      <x:c r="AL15" s="84" t="str"/>
      <x:c r="AM15" s="84" t="str"/>
      <x:c r="AN15" s="85" t="str"/>
    </x:row>
    <x:row r="16" ht="22" customHeight="1">
      <x:c r="A16" s="83" t="str">
        <x:v>Obra</x:v>
      </x:c>
      <x:c r="B16" s="84" t="str">
        <x:v>Excavación / Fundaciones</x:v>
      </x:c>
      <x:c r="C16" s="84" t="str">
        <x:v>Constructora / Dirección de obra</x:v>
      </x:c>
      <x:c r="D16" s="84" t="str">
        <x:v>Febrero 2027</x:v>
      </x:c>
      <x:c r="E16" s="84" t="str">
        <x:v>Marzo 2027</x:v>
      </x:c>
      <x:c r="F16" s="84" t="n">
        <x:v>7</x:v>
      </x:c>
      <x:c r="G16" s="84" t="str"/>
      <x:c r="H16" s="84" t="str"/>
      <x:c r="I16" s="84" t="str"/>
      <x:c r="J16" s="84" t="str"/>
      <x:c r="K16" s="84" t="str"/>
      <x:c r="L16" s="84" t="str"/>
      <x:c r="M16" s="84" t="str"/>
      <x:c r="N16" s="84" t="str"/>
      <x:c r="O16" s="84" t="str"/>
      <x:c r="P16" s="84" t="n">
        <x:v>6</x:v>
      </x:c>
      <x:c r="Q16" s="84" t="n">
        <x:v>1</x:v>
      </x:c>
      <x:c r="R16" s="84" t="str"/>
      <x:c r="S16" s="84" t="str"/>
      <x:c r="T16" s="84" t="str"/>
      <x:c r="U16" s="84" t="str"/>
      <x:c r="V16" s="84" t="str"/>
      <x:c r="W16" s="84" t="str"/>
      <x:c r="X16" s="84" t="str"/>
      <x:c r="Y16" s="84" t="str"/>
      <x:c r="Z16" s="84" t="str"/>
      <x:c r="AA16" s="84" t="str"/>
      <x:c r="AB16" s="84" t="str"/>
      <x:c r="AC16" s="84" t="str"/>
      <x:c r="AD16" s="84" t="str"/>
      <x:c r="AE16" s="84" t="str"/>
      <x:c r="AF16" s="84" t="str"/>
      <x:c r="AG16" s="84" t="str"/>
      <x:c r="AH16" s="84" t="str"/>
      <x:c r="AI16" s="84" t="str"/>
      <x:c r="AJ16" s="84" t="str"/>
      <x:c r="AK16" s="84" t="str"/>
      <x:c r="AL16" s="84" t="str"/>
      <x:c r="AM16" s="84" t="str"/>
      <x:c r="AN16" s="85" t="str"/>
    </x:row>
    <x:row r="17" ht="22" customHeight="1">
      <x:c r="A17" s="83" t="str">
        <x:v>Obra</x:v>
      </x:c>
      <x:c r="B17" s="84" t="str">
        <x:v>Estructura</x:v>
      </x:c>
      <x:c r="C17" s="84" t="str">
        <x:v>Constructora</x:v>
      </x:c>
      <x:c r="D17" s="84" t="str">
        <x:v>Marzo 2027</x:v>
      </x:c>
      <x:c r="E17" s="84" t="str">
        <x:v>Noviembre 2027</x:v>
      </x:c>
      <x:c r="F17" s="84" t="n">
        <x:v>22</x:v>
      </x:c>
      <x:c r="G17" s="84" t="str"/>
      <x:c r="H17" s="84" t="str"/>
      <x:c r="I17" s="84" t="str"/>
      <x:c r="J17" s="84" t="str"/>
      <x:c r="K17" s="84" t="str"/>
      <x:c r="L17" s="84" t="str"/>
      <x:c r="M17" s="84" t="str"/>
      <x:c r="N17" s="84" t="str"/>
      <x:c r="O17" s="84" t="str"/>
      <x:c r="P17" s="84" t="str"/>
      <x:c r="Q17" s="84" t="n">
        <x:v>3</x:v>
      </x:c>
      <x:c r="R17" s="84" t="n">
        <x:v>3</x:v>
      </x:c>
      <x:c r="S17" s="84" t="n">
        <x:v>6</x:v>
      </x:c>
      <x:c r="T17" s="84" t="n">
        <x:v>2</x:v>
      </x:c>
      <x:c r="U17" s="84" t="n">
        <x:v>2</x:v>
      </x:c>
      <x:c r="V17" s="84" t="n">
        <x:v>3</x:v>
      </x:c>
      <x:c r="W17" s="84" t="n">
        <x:v>1</x:v>
      </x:c>
      <x:c r="X17" s="84" t="n">
        <x:v>1</x:v>
      </x:c>
      <x:c r="Y17" s="84" t="n">
        <x:v>1</x:v>
      </x:c>
      <x:c r="Z17" s="84" t="str"/>
      <x:c r="AA17" s="84" t="str"/>
      <x:c r="AB17" s="84" t="str"/>
      <x:c r="AC17" s="84" t="str"/>
      <x:c r="AD17" s="84" t="str"/>
      <x:c r="AE17" s="84" t="str"/>
      <x:c r="AF17" s="84" t="str"/>
      <x:c r="AG17" s="84" t="str"/>
      <x:c r="AH17" s="84" t="str"/>
      <x:c r="AI17" s="84" t="str"/>
      <x:c r="AJ17" s="84" t="str"/>
      <x:c r="AK17" s="84" t="str"/>
      <x:c r="AL17" s="84" t="str"/>
      <x:c r="AM17" s="84" t="str"/>
      <x:c r="AN17" s="85" t="str"/>
    </x:row>
    <x:row r="18" ht="22" customHeight="1">
      <x:c r="A18" s="83" t="str">
        <x:v>Obra</x:v>
      </x:c>
      <x:c r="B18" s="84" t="str">
        <x:v>Compras / Proveedores</x:v>
      </x:c>
      <x:c r="C18" s="84" t="str">
        <x:v>Socios / Dirección de obra / Rodrigo</x:v>
      </x:c>
      <x:c r="D18" s="84" t="str">
        <x:v>Abril 2027</x:v>
      </x:c>
      <x:c r="E18" s="84" t="str">
        <x:v>Marzo 2028</x:v>
      </x:c>
      <x:c r="F18" s="84" t="n">
        <x:v>12</x:v>
      </x:c>
      <x:c r="G18" s="84" t="str"/>
      <x:c r="H18" s="84" t="str"/>
      <x:c r="I18" s="84" t="str"/>
      <x:c r="J18" s="84" t="str"/>
      <x:c r="K18" s="84" t="str"/>
      <x:c r="L18" s="84" t="str"/>
      <x:c r="M18" s="84" t="str"/>
      <x:c r="N18" s="84" t="str"/>
      <x:c r="O18" s="84" t="str"/>
      <x:c r="P18" s="84" t="str"/>
      <x:c r="Q18" s="84" t="str"/>
      <x:c r="R18" s="84" t="n">
        <x:v>1</x:v>
      </x:c>
      <x:c r="S18" s="84" t="str"/>
      <x:c r="T18" s="84" t="n">
        <x:v>7</x:v>
      </x:c>
      <x:c r="U18" s="84" t="str"/>
      <x:c r="V18" s="84" t="str"/>
      <x:c r="W18" s="84" t="str"/>
      <x:c r="X18" s="84" t="str"/>
      <x:c r="Y18" s="84" t="str"/>
      <x:c r="Z18" s="84" t="str"/>
      <x:c r="AA18" s="84" t="n">
        <x:v>1</x:v>
      </x:c>
      <x:c r="AB18" s="84" t="str"/>
      <x:c r="AC18" s="84" t="n">
        <x:v>3</x:v>
      </x:c>
      <x:c r="AD18" s="84" t="str"/>
      <x:c r="AE18" s="84" t="str"/>
      <x:c r="AF18" s="84" t="str"/>
      <x:c r="AG18" s="84" t="str"/>
      <x:c r="AH18" s="84" t="str"/>
      <x:c r="AI18" s="84" t="str"/>
      <x:c r="AJ18" s="84" t="str"/>
      <x:c r="AK18" s="84" t="str"/>
      <x:c r="AL18" s="84" t="str"/>
      <x:c r="AM18" s="84" t="str"/>
      <x:c r="AN18" s="85" t="str"/>
    </x:row>
    <x:row r="19" ht="22" customHeight="1">
      <x:c r="A19" s="83" t="str">
        <x:v>Obra</x:v>
      </x:c>
      <x:c r="B19" s="84" t="str">
        <x:v>Albañilería</x:v>
      </x:c>
      <x:c r="C19" s="84" t="str">
        <x:v>Constructora</x:v>
      </x:c>
      <x:c r="D19" s="84" t="str">
        <x:v>Julio 2027</x:v>
      </x:c>
      <x:c r="E19" s="84" t="str">
        <x:v>Enero 2028</x:v>
      </x:c>
      <x:c r="F19" s="84" t="n">
        <x:v>9</x:v>
      </x:c>
      <x:c r="G19" s="84" t="str"/>
      <x:c r="H19" s="84" t="str"/>
      <x:c r="I19" s="84" t="str"/>
      <x:c r="J19" s="84" t="str"/>
      <x:c r="K19" s="84" t="str"/>
      <x:c r="L19" s="84" t="str"/>
      <x:c r="M19" s="84" t="str"/>
      <x:c r="N19" s="84" t="str"/>
      <x:c r="O19" s="84" t="str"/>
      <x:c r="P19" s="84" t="str"/>
      <x:c r="Q19" s="84" t="str"/>
      <x:c r="R19" s="84" t="str"/>
      <x:c r="S19" s="84" t="str"/>
      <x:c r="T19" s="84" t="str"/>
      <x:c r="U19" s="84" t="n">
        <x:v>2</x:v>
      </x:c>
      <x:c r="V19" s="84" t="str"/>
      <x:c r="W19" s="84" t="n">
        <x:v>4</x:v>
      </x:c>
      <x:c r="X19" s="84" t="n">
        <x:v>1</x:v>
      </x:c>
      <x:c r="Y19" s="84" t="n">
        <x:v>1</x:v>
      </x:c>
      <x:c r="Z19" s="84" t="str"/>
      <x:c r="AA19" s="84" t="n">
        <x:v>1</x:v>
      </x:c>
      <x:c r="AB19" s="84" t="str"/>
      <x:c r="AC19" s="84" t="str"/>
      <x:c r="AD19" s="84" t="str"/>
      <x:c r="AE19" s="84" t="str"/>
      <x:c r="AF19" s="84" t="str"/>
      <x:c r="AG19" s="84" t="str"/>
      <x:c r="AH19" s="84" t="str"/>
      <x:c r="AI19" s="84" t="str"/>
      <x:c r="AJ19" s="84" t="str"/>
      <x:c r="AK19" s="84" t="str"/>
      <x:c r="AL19" s="84" t="str"/>
      <x:c r="AM19" s="84" t="str"/>
      <x:c r="AN19" s="85" t="str"/>
    </x:row>
    <x:row r="20" ht="22" customHeight="1">
      <x:c r="A20" s="83" t="str">
        <x:v>Obra</x:v>
      </x:c>
      <x:c r="B20" s="84" t="str">
        <x:v>Instalaciones</x:v>
      </x:c>
      <x:c r="C20" s="84" t="str">
        <x:v>Instaladores</x:v>
      </x:c>
      <x:c r="D20" s="84" t="str">
        <x:v>Julio 2027</x:v>
      </x:c>
      <x:c r="E20" s="84" t="str">
        <x:v>Febrero 2028</x:v>
      </x:c>
      <x:c r="F20" s="84" t="n">
        <x:v>14</x:v>
      </x:c>
      <x:c r="G20" s="84" t="str"/>
      <x:c r="H20" s="84" t="str"/>
      <x:c r="I20" s="84" t="str"/>
      <x:c r="J20" s="84" t="str"/>
      <x:c r="K20" s="84" t="str"/>
      <x:c r="L20" s="84" t="str"/>
      <x:c r="M20" s="84" t="str"/>
      <x:c r="N20" s="84" t="str"/>
      <x:c r="O20" s="84" t="str"/>
      <x:c r="P20" s="84" t="str"/>
      <x:c r="Q20" s="84" t="str"/>
      <x:c r="R20" s="84" t="str"/>
      <x:c r="S20" s="84" t="str"/>
      <x:c r="T20" s="84" t="str"/>
      <x:c r="U20" s="84" t="n">
        <x:v>1</x:v>
      </x:c>
      <x:c r="V20" s="84" t="str"/>
      <x:c r="W20" s="84" t="n">
        <x:v>2</x:v>
      </x:c>
      <x:c r="X20" s="84" t="n">
        <x:v>6</x:v>
      </x:c>
      <x:c r="Y20" s="84" t="n">
        <x:v>1</x:v>
      </x:c>
      <x:c r="Z20" s="84" t="str"/>
      <x:c r="AA20" s="84" t="n">
        <x:v>1</x:v>
      </x:c>
      <x:c r="AB20" s="84" t="n">
        <x:v>3</x:v>
      </x:c>
      <x:c r="AC20" s="84" t="str"/>
      <x:c r="AD20" s="84" t="str"/>
      <x:c r="AE20" s="84" t="str"/>
      <x:c r="AF20" s="84" t="str"/>
      <x:c r="AG20" s="84" t="str"/>
      <x:c r="AH20" s="84" t="str"/>
      <x:c r="AI20" s="84" t="str"/>
      <x:c r="AJ20" s="84" t="str"/>
      <x:c r="AK20" s="84" t="str"/>
      <x:c r="AL20" s="84" t="str"/>
      <x:c r="AM20" s="84" t="str"/>
      <x:c r="AN20" s="85" t="str"/>
    </x:row>
    <x:row r="21" ht="22" customHeight="1">
      <x:c r="A21" s="83" t="str">
        <x:v>Obra</x:v>
      </x:c>
      <x:c r="B21" s="84" t="str">
        <x:v>Ascensor</x:v>
      </x:c>
      <x:c r="C21" s="84" t="str">
        <x:v>Socios / Constructora</x:v>
      </x:c>
      <x:c r="D21" s="84" t="str">
        <x:v>Agosto 2027</x:v>
      </x:c>
      <x:c r="E21" s="84" t="str">
        <x:v>Agosto 2028</x:v>
      </x:c>
      <x:c r="F21" s="84" t="n">
        <x:v>6</x:v>
      </x:c>
      <x:c r="G21" s="84" t="str"/>
      <x:c r="H21" s="84" t="str"/>
      <x:c r="I21" s="84" t="str"/>
      <x:c r="J21" s="84" t="str"/>
      <x:c r="K21" s="84" t="str"/>
      <x:c r="L21" s="84" t="str"/>
      <x:c r="M21" s="84" t="str"/>
      <x:c r="N21" s="84" t="str"/>
      <x:c r="O21" s="84" t="str"/>
      <x:c r="P21" s="84" t="str"/>
      <x:c r="Q21" s="84" t="str"/>
      <x:c r="R21" s="84" t="str"/>
      <x:c r="S21" s="84" t="str"/>
      <x:c r="T21" s="84" t="str"/>
      <x:c r="U21" s="84" t="str"/>
      <x:c r="V21" s="84" t="n">
        <x:v>2</x:v>
      </x:c>
      <x:c r="W21" s="84" t="str"/>
      <x:c r="X21" s="84" t="str"/>
      <x:c r="Y21" s="84" t="str"/>
      <x:c r="Z21" s="84" t="str"/>
      <x:c r="AA21" s="84" t="str"/>
      <x:c r="AB21" s="84" t="n">
        <x:v>1</x:v>
      </x:c>
      <x:c r="AC21" s="84" t="str"/>
      <x:c r="AD21" s="84" t="str"/>
      <x:c r="AE21" s="84" t="n">
        <x:v>1</x:v>
      </x:c>
      <x:c r="AF21" s="84" t="str"/>
      <x:c r="AG21" s="84" t="n">
        <x:v>1</x:v>
      </x:c>
      <x:c r="AH21" s="84" t="n">
        <x:v>1</x:v>
      </x:c>
      <x:c r="AI21" s="84" t="str"/>
      <x:c r="AJ21" s="84" t="str"/>
      <x:c r="AK21" s="84" t="str"/>
      <x:c r="AL21" s="84" t="str"/>
      <x:c r="AM21" s="84" t="str"/>
      <x:c r="AN21" s="85" t="str"/>
    </x:row>
    <x:row r="22" ht="22" customHeight="1">
      <x:c r="A22" s="83" t="str">
        <x:v>Obra</x:v>
      </x:c>
      <x:c r="B22" s="84" t="str">
        <x:v>Fachada</x:v>
      </x:c>
      <x:c r="C22" s="84" t="str">
        <x:v>Constructora</x:v>
      </x:c>
      <x:c r="D22" s="84" t="str">
        <x:v>Agosto 2027</x:v>
      </x:c>
      <x:c r="E22" s="84" t="str">
        <x:v>Septiembre 2028</x:v>
      </x:c>
      <x:c r="F22" s="84" t="n">
        <x:v>13</x:v>
      </x:c>
      <x:c r="G22" s="84" t="str"/>
      <x:c r="H22" s="84" t="str"/>
      <x:c r="I22" s="84" t="str"/>
      <x:c r="J22" s="84" t="str"/>
      <x:c r="K22" s="84" t="str"/>
      <x:c r="L22" s="84" t="str"/>
      <x:c r="M22" s="84" t="str"/>
      <x:c r="N22" s="84" t="str"/>
      <x:c r="O22" s="84" t="str"/>
      <x:c r="P22" s="84" t="str"/>
      <x:c r="Q22" s="84" t="str"/>
      <x:c r="R22" s="84" t="str"/>
      <x:c r="S22" s="84" t="str"/>
      <x:c r="T22" s="84" t="str"/>
      <x:c r="U22" s="84" t="str"/>
      <x:c r="V22" s="84" t="n">
        <x:v>2</x:v>
      </x:c>
      <x:c r="W22" s="84" t="str"/>
      <x:c r="X22" s="84" t="n">
        <x:v>4</x:v>
      </x:c>
      <x:c r="Y22" s="84" t="str"/>
      <x:c r="Z22" s="84" t="str"/>
      <x:c r="AA22" s="84" t="n">
        <x:v>2</x:v>
      </x:c>
      <x:c r="AB22" s="84" t="n">
        <x:v>1</x:v>
      </x:c>
      <x:c r="AC22" s="84" t="str"/>
      <x:c r="AD22" s="84" t="n">
        <x:v>1</x:v>
      </x:c>
      <x:c r="AE22" s="84" t="str"/>
      <x:c r="AF22" s="84" t="n">
        <x:v>1</x:v>
      </x:c>
      <x:c r="AG22" s="84" t="str"/>
      <x:c r="AH22" s="84" t="n">
        <x:v>1</x:v>
      </x:c>
      <x:c r="AI22" s="84" t="n">
        <x:v>1</x:v>
      </x:c>
      <x:c r="AJ22" s="84" t="str"/>
      <x:c r="AK22" s="84" t="str"/>
      <x:c r="AL22" s="84" t="str"/>
      <x:c r="AM22" s="84" t="str"/>
      <x:c r="AN22" s="85" t="str"/>
    </x:row>
    <x:row r="23" ht="22" customHeight="1">
      <x:c r="A23" s="83" t="str">
        <x:v>Obra</x:v>
      </x:c>
      <x:c r="B23" s="84" t="str">
        <x:v>Control de obra</x:v>
      </x:c>
      <x:c r="C23" s="84" t="str">
        <x:v>Dirección de obra / Constructora / Socios</x:v>
      </x:c>
      <x:c r="D23" s="84" t="str">
        <x:v>Septiembre 2027</x:v>
      </x:c>
      <x:c r="E23" s="84" t="str">
        <x:v>Septiembre 2028</x:v>
      </x:c>
      <x:c r="F23" s="84" t="n">
        <x:v>20</x:v>
      </x:c>
      <x:c r="G23" s="84" t="str"/>
      <x:c r="H23" s="84" t="str"/>
      <x:c r="I23" s="84" t="str"/>
      <x:c r="J23" s="84" t="str"/>
      <x:c r="K23" s="84" t="str"/>
      <x:c r="L23" s="84" t="str"/>
      <x:c r="M23" s="84" t="str"/>
      <x:c r="N23" s="84" t="str"/>
      <x:c r="O23" s="84" t="str"/>
      <x:c r="P23" s="84" t="str"/>
      <x:c r="Q23" s="84" t="str"/>
      <x:c r="R23" s="84" t="str"/>
      <x:c r="S23" s="84" t="str"/>
      <x:c r="T23" s="84" t="str"/>
      <x:c r="U23" s="84" t="str"/>
      <x:c r="V23" s="84" t="str"/>
      <x:c r="W23" s="84" t="n">
        <x:v>2</x:v>
      </x:c>
      <x:c r="X23" s="84" t="str"/>
      <x:c r="Y23" s="84" t="str"/>
      <x:c r="Z23" s="84" t="n">
        <x:v>4</x:v>
      </x:c>
      <x:c r="AA23" s="84" t="str"/>
      <x:c r="AB23" s="84" t="str"/>
      <x:c r="AC23" s="84" t="str"/>
      <x:c r="AD23" s="84" t="str"/>
      <x:c r="AE23" s="84" t="str"/>
      <x:c r="AF23" s="84" t="n">
        <x:v>2</x:v>
      </x:c>
      <x:c r="AG23" s="84" t="str"/>
      <x:c r="AH23" s="84" t="n">
        <x:v>1</x:v>
      </x:c>
      <x:c r="AI23" s="84" t="n">
        <x:v>11</x:v>
      </x:c>
      <x:c r="AJ23" s="84" t="str"/>
      <x:c r="AK23" s="84" t="str"/>
      <x:c r="AL23" s="84" t="str"/>
      <x:c r="AM23" s="84" t="str"/>
      <x:c r="AN23" s="85" t="str"/>
    </x:row>
    <x:row r="24" ht="22" customHeight="1">
      <x:c r="A24" s="83" t="str">
        <x:v>Obra</x:v>
      </x:c>
      <x:c r="B24" s="84" t="str">
        <x:v>Terminaciones</x:v>
      </x:c>
      <x:c r="C24" s="84" t="str">
        <x:v>Constructora</x:v>
      </x:c>
      <x:c r="D24" s="84" t="str">
        <x:v>Noviembre 2027</x:v>
      </x:c>
      <x:c r="E24" s="84" t="str">
        <x:v>Agosto 2028</x:v>
      </x:c>
      <x:c r="F24" s="84" t="n">
        <x:v>50</x:v>
      </x:c>
      <x:c r="G24" s="84" t="str"/>
      <x:c r="H24" s="84" t="str"/>
      <x:c r="I24" s="84" t="str"/>
      <x:c r="J24" s="84" t="str"/>
      <x:c r="K24" s="84" t="str"/>
      <x:c r="L24" s="84" t="str"/>
      <x:c r="M24" s="84" t="str"/>
      <x:c r="N24" s="84" t="str"/>
      <x:c r="O24" s="84" t="str"/>
      <x:c r="P24" s="84" t="str"/>
      <x:c r="Q24" s="84" t="str"/>
      <x:c r="R24" s="84" t="str"/>
      <x:c r="S24" s="84" t="str"/>
      <x:c r="T24" s="84" t="str"/>
      <x:c r="U24" s="84" t="str"/>
      <x:c r="V24" s="84" t="str"/>
      <x:c r="W24" s="84" t="str"/>
      <x:c r="X24" s="84" t="str"/>
      <x:c r="Y24" s="84" t="n">
        <x:v>6</x:v>
      </x:c>
      <x:c r="Z24" s="84" t="n">
        <x:v>3</x:v>
      </x:c>
      <x:c r="AA24" s="84" t="n">
        <x:v>2</x:v>
      </x:c>
      <x:c r="AB24" s="84" t="n">
        <x:v>1</x:v>
      </x:c>
      <x:c r="AC24" s="84" t="n">
        <x:v>6</x:v>
      </x:c>
      <x:c r="AD24" s="84" t="n">
        <x:v>7</x:v>
      </x:c>
      <x:c r="AE24" s="84" t="n">
        <x:v>8</x:v>
      </x:c>
      <x:c r="AF24" s="84" t="n">
        <x:v>5</x:v>
      </x:c>
      <x:c r="AG24" s="84" t="n">
        <x:v>6</x:v>
      </x:c>
      <x:c r="AH24" s="84" t="n">
        <x:v>6</x:v>
      </x:c>
      <x:c r="AI24" s="84" t="str"/>
      <x:c r="AJ24" s="84" t="str"/>
      <x:c r="AK24" s="84" t="str"/>
      <x:c r="AL24" s="84" t="str"/>
      <x:c r="AM24" s="84" t="str"/>
      <x:c r="AN24" s="85" t="str"/>
    </x:row>
    <x:row r="25" ht="22" customHeight="1">
      <x:c r="A25" s="83" t="str">
        <x:v>Obra</x:v>
      </x:c>
      <x:c r="B25" s="84" t="str">
        <x:v>Espacios comunes</x:v>
      </x:c>
      <x:c r="C25" s="84" t="str">
        <x:v>Rodrigo / Constructora</x:v>
      </x:c>
      <x:c r="D25" s="84" t="str">
        <x:v>Febrero 2028</x:v>
      </x:c>
      <x:c r="E25" s="84" t="str">
        <x:v>Septiembre 2028</x:v>
      </x:c>
      <x:c r="F25" s="84" t="n">
        <x:v>12</x:v>
      </x:c>
      <x:c r="G25" s="84" t="str"/>
      <x:c r="H25" s="84" t="str"/>
      <x:c r="I25" s="84" t="str"/>
      <x:c r="J25" s="84" t="str"/>
      <x:c r="K25" s="84" t="str"/>
      <x:c r="L25" s="84" t="str"/>
      <x:c r="M25" s="84" t="str"/>
      <x:c r="N25" s="84" t="str"/>
      <x:c r="O25" s="84" t="str"/>
      <x:c r="P25" s="84" t="str"/>
      <x:c r="Q25" s="84" t="str"/>
      <x:c r="R25" s="84" t="str"/>
      <x:c r="S25" s="84" t="str"/>
      <x:c r="T25" s="84" t="str"/>
      <x:c r="U25" s="84" t="str"/>
      <x:c r="V25" s="84" t="str"/>
      <x:c r="W25" s="84" t="str"/>
      <x:c r="X25" s="84" t="str"/>
      <x:c r="Y25" s="84" t="str"/>
      <x:c r="Z25" s="84" t="str"/>
      <x:c r="AA25" s="84" t="str"/>
      <x:c r="AB25" s="84" t="n">
        <x:v>5</x:v>
      </x:c>
      <x:c r="AC25" s="84" t="str"/>
      <x:c r="AD25" s="84" t="str"/>
      <x:c r="AE25" s="84" t="str"/>
      <x:c r="AF25" s="84" t="n">
        <x:v>2</x:v>
      </x:c>
      <x:c r="AG25" s="84" t="n">
        <x:v>3</x:v>
      </x:c>
      <x:c r="AH25" s="84" t="n">
        <x:v>1</x:v>
      </x:c>
      <x:c r="AI25" s="84" t="n">
        <x:v>1</x:v>
      </x:c>
      <x:c r="AJ25" s="84" t="str"/>
      <x:c r="AK25" s="84" t="str"/>
      <x:c r="AL25" s="84" t="str"/>
      <x:c r="AM25" s="84" t="str"/>
      <x:c r="AN25" s="85" t="str"/>
    </x:row>
    <x:row r="26" ht="22" customHeight="1">
      <x:c r="A26" s="83" t="str">
        <x:v>Legal / Entrega</x:v>
      </x:c>
      <x:c r="B26" s="84" t="str">
        <x:v>Legal</x:v>
      </x:c>
      <x:c r="C26" s="84" t="str">
        <x:v>Legal / Socios / Gestora</x:v>
      </x:c>
      <x:c r="D26" s="84" t="str">
        <x:v>Julio 2028</x:v>
      </x:c>
      <x:c r="E26" s="84" t="str">
        <x:v>Enero 2029</x:v>
      </x:c>
      <x:c r="F26" s="84" t="n">
        <x:v>9</x:v>
      </x:c>
      <x:c r="G26" s="84" t="str"/>
      <x:c r="H26" s="84" t="str"/>
      <x:c r="I26" s="84" t="str"/>
      <x:c r="J26" s="84" t="str"/>
      <x:c r="K26" s="84" t="str"/>
      <x:c r="L26" s="84" t="str"/>
      <x:c r="M26" s="84" t="str"/>
      <x:c r="N26" s="84" t="str"/>
      <x:c r="O26" s="84" t="str"/>
      <x:c r="P26" s="84" t="str"/>
      <x:c r="Q26" s="84" t="str"/>
      <x:c r="R26" s="84" t="str"/>
      <x:c r="S26" s="84" t="str"/>
      <x:c r="T26" s="84" t="str"/>
      <x:c r="U26" s="84" t="str"/>
      <x:c r="V26" s="84" t="str"/>
      <x:c r="W26" s="84" t="str"/>
      <x:c r="X26" s="84" t="str"/>
      <x:c r="Y26" s="84" t="str"/>
      <x:c r="Z26" s="84" t="str"/>
      <x:c r="AA26" s="84" t="str"/>
      <x:c r="AB26" s="84" t="str"/>
      <x:c r="AC26" s="84" t="str"/>
      <x:c r="AD26" s="84" t="str"/>
      <x:c r="AE26" s="84" t="str"/>
      <x:c r="AF26" s="84" t="str"/>
      <x:c r="AG26" s="84" t="n">
        <x:v>1</x:v>
      </x:c>
      <x:c r="AH26" s="84" t="str"/>
      <x:c r="AI26" s="84" t="str"/>
      <x:c r="AJ26" s="84" t="str"/>
      <x:c r="AK26" s="84" t="n">
        <x:v>6</x:v>
      </x:c>
      <x:c r="AL26" s="84" t="str"/>
      <x:c r="AM26" s="84" t="n">
        <x:v>2</x:v>
      </x:c>
      <x:c r="AN26" s="85" t="str"/>
    </x:row>
    <x:row r="27" ht="22" customHeight="1">
      <x:c r="A27" s="83" t="str">
        <x:v>Obra</x:v>
      </x:c>
      <x:c r="B27" s="84" t="str">
        <x:v>Cierre de obra</x:v>
      </x:c>
      <x:c r="C27" s="84" t="str">
        <x:v>Socios / Constructora / Gestora</x:v>
      </x:c>
      <x:c r="D27" s="84" t="str">
        <x:v>Octubre 2028</x:v>
      </x:c>
      <x:c r="E27" s="84" t="str">
        <x:v>Diciembre 2028</x:v>
      </x:c>
      <x:c r="F27" s="84" t="n">
        <x:v>14</x:v>
      </x:c>
      <x:c r="G27" s="84" t="str"/>
      <x:c r="H27" s="84" t="str"/>
      <x:c r="I27" s="84" t="str"/>
      <x:c r="J27" s="84" t="str"/>
      <x:c r="K27" s="84" t="str"/>
      <x:c r="L27" s="84" t="str"/>
      <x:c r="M27" s="84" t="str"/>
      <x:c r="N27" s="84" t="str"/>
      <x:c r="O27" s="84" t="str"/>
      <x:c r="P27" s="84" t="str"/>
      <x:c r="Q27" s="84" t="str"/>
      <x:c r="R27" s="84" t="str"/>
      <x:c r="S27" s="84" t="str"/>
      <x:c r="T27" s="84" t="str"/>
      <x:c r="U27" s="84" t="str"/>
      <x:c r="V27" s="84" t="str"/>
      <x:c r="W27" s="84" t="str"/>
      <x:c r="X27" s="84" t="str"/>
      <x:c r="Y27" s="84" t="str"/>
      <x:c r="Z27" s="84" t="str"/>
      <x:c r="AA27" s="84" t="str"/>
      <x:c r="AB27" s="84" t="str"/>
      <x:c r="AC27" s="84" t="str"/>
      <x:c r="AD27" s="84" t="str"/>
      <x:c r="AE27" s="84" t="str"/>
      <x:c r="AF27" s="84" t="str"/>
      <x:c r="AG27" s="84" t="str"/>
      <x:c r="AH27" s="84" t="str"/>
      <x:c r="AI27" s="84" t="str"/>
      <x:c r="AJ27" s="84" t="n">
        <x:v>12</x:v>
      </x:c>
      <x:c r="AK27" s="84" t="str"/>
      <x:c r="AL27" s="84" t="n">
        <x:v>2</x:v>
      </x:c>
      <x:c r="AM27" s="84" t="str"/>
      <x:c r="AN27" s="85" t="str"/>
    </x:row>
    <x:row r="28" ht="22" customHeight="1">
      <x:c r="A28" s="83" t="str">
        <x:v>Entrega</x:v>
      </x:c>
      <x:c r="B28" s="84" t="str">
        <x:v>Entrega</x:v>
      </x:c>
      <x:c r="C28" s="84" t="str">
        <x:v>Socios / Constructora / Compradores</x:v>
      </x:c>
      <x:c r="D28" s="84" t="str">
        <x:v>Noviembre 2028</x:v>
      </x:c>
      <x:c r="E28" s="84" t="str">
        <x:v>Diciembre 2028</x:v>
      </x:c>
      <x:c r="F28" s="84" t="n">
        <x:v>6</x:v>
      </x:c>
      <x:c r="G28" s="84" t="str"/>
      <x:c r="H28" s="84" t="str"/>
      <x:c r="I28" s="84" t="str"/>
      <x:c r="J28" s="84" t="str"/>
      <x:c r="K28" s="84" t="str"/>
      <x:c r="L28" s="84" t="str"/>
      <x:c r="M28" s="84" t="str"/>
      <x:c r="N28" s="84" t="str"/>
      <x:c r="O28" s="84" t="str"/>
      <x:c r="P28" s="84" t="str"/>
      <x:c r="Q28" s="84" t="str"/>
      <x:c r="R28" s="84" t="str"/>
      <x:c r="S28" s="84" t="str"/>
      <x:c r="T28" s="84" t="str"/>
      <x:c r="U28" s="84" t="str"/>
      <x:c r="V28" s="84" t="str"/>
      <x:c r="W28" s="84" t="str"/>
      <x:c r="X28" s="84" t="str"/>
      <x:c r="Y28" s="84" t="str"/>
      <x:c r="Z28" s="84" t="str"/>
      <x:c r="AA28" s="84" t="str"/>
      <x:c r="AB28" s="84" t="str"/>
      <x:c r="AC28" s="84" t="str"/>
      <x:c r="AD28" s="84" t="str"/>
      <x:c r="AE28" s="84" t="str"/>
      <x:c r="AF28" s="84" t="str"/>
      <x:c r="AG28" s="84" t="str"/>
      <x:c r="AH28" s="84" t="str"/>
      <x:c r="AI28" s="84" t="str"/>
      <x:c r="AJ28" s="84" t="str"/>
      <x:c r="AK28" s="84" t="n">
        <x:v>4</x:v>
      </x:c>
      <x:c r="AL28" s="84" t="n">
        <x:v>2</x:v>
      </x:c>
      <x:c r="AM28" s="84" t="str"/>
      <x:c r="AN28" s="85" t="str"/>
    </x:row>
    <x:row r="29" ht="22" customHeight="1">
      <x:c r="A29" s="86" t="str">
        <x:v>Postventa</x:v>
      </x:c>
      <x:c r="B29" s="87" t="str">
        <x:v>Postventa</x:v>
      </x:c>
      <x:c r="C29" s="87" t="str">
        <x:v>Socios / Constructora</x:v>
      </x:c>
      <x:c r="D29" s="87" t="str">
        <x:v>Diciembre 2028</x:v>
      </x:c>
      <x:c r="E29" s="87" t="str">
        <x:v>Febrero 2029</x:v>
      </x:c>
      <x:c r="F29" s="87" t="n">
        <x:v>9</x:v>
      </x:c>
      <x:c r="G29" s="87" t="str"/>
      <x:c r="H29" s="87" t="str"/>
      <x:c r="I29" s="87" t="str"/>
      <x:c r="J29" s="87" t="str"/>
      <x:c r="K29" s="87" t="str"/>
      <x:c r="L29" s="87" t="str"/>
      <x:c r="M29" s="87" t="str"/>
      <x:c r="N29" s="87" t="str"/>
      <x:c r="O29" s="87" t="str"/>
      <x:c r="P29" s="87" t="str"/>
      <x:c r="Q29" s="87" t="str"/>
      <x:c r="R29" s="87" t="str"/>
      <x:c r="S29" s="87" t="str"/>
      <x:c r="T29" s="87" t="str"/>
      <x:c r="U29" s="87" t="str"/>
      <x:c r="V29" s="87" t="str"/>
      <x:c r="W29" s="87" t="str"/>
      <x:c r="X29" s="87" t="str"/>
      <x:c r="Y29" s="87" t="str"/>
      <x:c r="Z29" s="87" t="str"/>
      <x:c r="AA29" s="87" t="str"/>
      <x:c r="AB29" s="87" t="str"/>
      <x:c r="AC29" s="87" t="str"/>
      <x:c r="AD29" s="87" t="str"/>
      <x:c r="AE29" s="87" t="str"/>
      <x:c r="AF29" s="87" t="str"/>
      <x:c r="AG29" s="87" t="str"/>
      <x:c r="AH29" s="87" t="str"/>
      <x:c r="AI29" s="87" t="str"/>
      <x:c r="AJ29" s="87" t="str"/>
      <x:c r="AK29" s="87" t="str"/>
      <x:c r="AL29" s="87" t="n">
        <x:v>3</x:v>
      </x:c>
      <x:c r="AM29" s="87" t="n">
        <x:v>3</x:v>
      </x:c>
      <x:c r="AN29" s="88" t="n">
        <x:v>3</x:v>
      </x:c>
    </x:row>
  </x:sheetData>
  <x:conditionalFormatting sqref="G2:AN29">
    <x:cfRule type="cellIs" dxfId="5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6fdbb1b3ff40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</x:cols>
  <x:sheetData>
    <x:row r="1" ht="24" customHeight="1">
      <x:c r="A1" s="97" t="str">
        <x:v>Rubro</x:v>
      </x:c>
      <x:c r="B1" s="98" t="str">
        <x:v>Etapa principal</x:v>
      </x:c>
      <x:c r="C1" s="98" t="str">
        <x:v>Responsable principal</x:v>
      </x:c>
      <x:c r="D1" s="98" t="str">
        <x:v>Actividades</x:v>
      </x:c>
      <x:c r="E1" s="98" t="str">
        <x:v>Pendientes</x:v>
      </x:c>
      <x:c r="F1" s="98" t="str">
        <x:v>En curso</x:v>
      </x:c>
      <x:c r="G1" s="98" t="str">
        <x:v>Completadas</x:v>
      </x:c>
      <x:c r="H1" s="98" t="str">
        <x:v>Críticas</x:v>
      </x:c>
      <x:c r="I1" s="98" t="str">
        <x:v>Inicio</x:v>
      </x:c>
      <x:c r="J1" s="98" t="str">
        <x:v>Fin</x:v>
      </x:c>
    </x:row>
    <x:row r="2" ht="22" customHeight="1">
      <x:c r="A2" s="83" t="str">
        <x:v>Legal</x:v>
      </x:c>
      <x:c r="B2" s="84" t="str">
        <x:v>Legal / Entrega</x:v>
      </x:c>
      <x:c r="C2" s="84" t="str">
        <x:v>Legal / Socios / Gestora</x:v>
      </x:c>
      <x:c r="D2" s="84" t="n">
        <x:v>12</x:v>
      </x:c>
      <x:c r="E2" s="84" t="n">
        <x:v>12</x:v>
      </x:c>
      <x:c r="F2" s="84" t="n">
        <x:v>0</x:v>
      </x:c>
      <x:c r="G2" s="84" t="n">
        <x:v>0</x:v>
      </x:c>
      <x:c r="H2" s="84" t="n">
        <x:v>3</x:v>
      </x:c>
      <x:c r="I2" s="84" t="str">
        <x:v>Mayo 2026</x:v>
      </x:c>
      <x:c r="J2" s="85" t="str">
        <x:v>Enero 2029</x:v>
      </x:c>
    </x:row>
    <x:row r="3" ht="22" customHeight="1">
      <x:c r="A3" s="83" t="str">
        <x:v>Suelos</x:v>
      </x:c>
      <x:c r="B3" s="84" t="str">
        <x:v>Preobra</x:v>
      </x:c>
      <x:c r="C3" s="84" t="str">
        <x:v>Socios</x:v>
      </x:c>
      <x:c r="D3" s="84" t="n">
        <x:v>1</x:v>
      </x:c>
      <x:c r="E3" s="84" t="n">
        <x:v>1</x:v>
      </x:c>
      <x:c r="F3" s="84" t="n">
        <x:v>0</x:v>
      </x:c>
      <x:c r="G3" s="84" t="n">
        <x:v>0</x:v>
      </x:c>
      <x:c r="H3" s="84" t="n">
        <x:v>0</x:v>
      </x:c>
      <x:c r="I3" s="84" t="str">
        <x:v>Mayo 2026</x:v>
      </x:c>
      <x:c r="J3" s="85" t="str">
        <x:v>Mayo 2026</x:v>
      </x:c>
    </x:row>
    <x:row r="4" ht="22" customHeight="1">
      <x:c r="A4" s="83" t="str">
        <x:v>Técnico</x:v>
      </x:c>
      <x:c r="B4" s="84" t="str">
        <x:v>Proyecto</x:v>
      </x:c>
      <x:c r="C4" s="84" t="str">
        <x:v>Socios</x:v>
      </x:c>
      <x:c r="D4" s="84" t="n">
        <x:v>3</x:v>
      </x:c>
      <x:c r="E4" s="84" t="n">
        <x:v>0</x:v>
      </x:c>
      <x:c r="F4" s="84" t="n">
        <x:v>3</x:v>
      </x:c>
      <x:c r="G4" s="84" t="n">
        <x:v>0</x:v>
      </x:c>
      <x:c r="H4" s="84" t="n">
        <x:v>0</x:v>
      </x:c>
      <x:c r="I4" s="84" t="str">
        <x:v>Mayo 2026</x:v>
      </x:c>
      <x:c r="J4" s="85" t="str">
        <x:v>Mayo 2026</x:v>
      </x:c>
    </x:row>
    <x:row r="5" ht="22" customHeight="1">
      <x:c r="A5" s="83" t="str">
        <x:v>Arquitectura</x:v>
      </x:c>
      <x:c r="B5" s="84" t="str">
        <x:v>Proyecto</x:v>
      </x:c>
      <x:c r="C5" s="84" t="str">
        <x:v>Socios</x:v>
      </x:c>
      <x:c r="D5" s="84" t="n">
        <x:v>3</x:v>
      </x:c>
      <x:c r="E5" s="84" t="n">
        <x:v>2</x:v>
      </x:c>
      <x:c r="F5" s="84" t="n">
        <x:v>1</x:v>
      </x:c>
      <x:c r="G5" s="84" t="n">
        <x:v>0</x:v>
      </x:c>
      <x:c r="H5" s="84" t="n">
        <x:v>1</x:v>
      </x:c>
      <x:c r="I5" s="84" t="str">
        <x:v>Junio 2026</x:v>
      </x:c>
      <x:c r="J5" s="85" t="str">
        <x:v>Julio 2026</x:v>
      </x:c>
    </x:row>
    <x:row r="6" ht="22" customHeight="1">
      <x:c r="A6" s="83" t="str">
        <x:v>Cálculo estructural</x:v>
      </x:c>
      <x:c r="B6" s="84" t="str">
        <x:v>Proyecto</x:v>
      </x:c>
      <x:c r="C6" s="84" t="str">
        <x:v>Socios</x:v>
      </x:c>
      <x:c r="D6" s="84" t="n">
        <x:v>1</x:v>
      </x:c>
      <x:c r="E6" s="84" t="n">
        <x:v>1</x:v>
      </x:c>
      <x:c r="F6" s="84" t="n">
        <x:v>0</x:v>
      </x:c>
      <x:c r="G6" s="84" t="n">
        <x:v>0</x:v>
      </x:c>
      <x:c r="H6" s="84" t="n">
        <x:v>0</x:v>
      </x:c>
      <x:c r="I6" s="84" t="str">
        <x:v>Junio 2026</x:v>
      </x:c>
      <x:c r="J6" s="85" t="str">
        <x:v>Junio 2026</x:v>
      </x:c>
    </x:row>
    <x:row r="7" ht="22" customHeight="1">
      <x:c r="A7" s="83" t="str">
        <x:v>Finanzas</x:v>
      </x:c>
      <x:c r="B7" s="84" t="str">
        <x:v>Finanzas</x:v>
      </x:c>
      <x:c r="C7" s="84" t="str">
        <x:v>Socios</x:v>
      </x:c>
      <x:c r="D7" s="84" t="n">
        <x:v>40</x:v>
      </x:c>
      <x:c r="E7" s="84" t="n">
        <x:v>40</x:v>
      </x:c>
      <x:c r="F7" s="84" t="n">
        <x:v>0</x:v>
      </x:c>
      <x:c r="G7" s="84" t="n">
        <x:v>0</x:v>
      </x:c>
      <x:c r="H7" s="84" t="n">
        <x:v>4</x:v>
      </x:c>
      <x:c r="I7" s="84" t="str">
        <x:v>Junio 2026</x:v>
      </x:c>
      <x:c r="J7" s="85" t="str">
        <x:v>Febrero 2029</x:v>
      </x:c>
    </x:row>
    <x:row r="8" ht="22" customHeight="1">
      <x:c r="A8" s="83" t="str">
        <x:v>Finanzas / Legal</x:v>
      </x:c>
      <x:c r="B8" s="84" t="str">
        <x:v>Administración</x:v>
      </x:c>
      <x:c r="C8" s="84" t="str">
        <x:v>Socios / Administración</x:v>
      </x:c>
      <x:c r="D8" s="84" t="n">
        <x:v>5</x:v>
      </x:c>
      <x:c r="E8" s="84" t="n">
        <x:v>5</x:v>
      </x:c>
      <x:c r="F8" s="84" t="n">
        <x:v>0</x:v>
      </x:c>
      <x:c r="G8" s="84" t="n">
        <x:v>0</x:v>
      </x:c>
      <x:c r="H8" s="84" t="n">
        <x:v>0</x:v>
      </x:c>
      <x:c r="I8" s="84" t="str">
        <x:v>Junio 2026</x:v>
      </x:c>
      <x:c r="J8" s="85" t="str">
        <x:v>Noviembre 2026</x:v>
      </x:c>
    </x:row>
    <x:row r="9" ht="22" customHeight="1">
      <x:c r="A9" s="83" t="str">
        <x:v>Folletería</x:v>
      </x:c>
      <x:c r="B9" s="84" t="str">
        <x:v>Comercial</x:v>
      </x:c>
      <x:c r="C9" s="84" t="str">
        <x:v>Socios</x:v>
      </x:c>
      <x:c r="D9" s="84" t="n">
        <x:v>1</x:v>
      </x:c>
      <x:c r="E9" s="84" t="n">
        <x:v>0</x:v>
      </x:c>
      <x:c r="F9" s="84" t="n">
        <x:v>0</x:v>
      </x:c>
      <x:c r="G9" s="84" t="n">
        <x:v>0</x:v>
      </x:c>
      <x:c r="H9" s="84" t="n">
        <x:v>0</x:v>
      </x:c>
      <x:c r="I9" s="84" t="str">
        <x:v>Julio 2026</x:v>
      </x:c>
      <x:c r="J9" s="85" t="str">
        <x:v>Julio 2026</x:v>
      </x:c>
    </x:row>
    <x:row r="10" ht="22" customHeight="1">
      <x:c r="A10" s="83" t="str">
        <x:v>Marketing / Ventas</x:v>
      </x:c>
      <x:c r="B10" s="84" t="str">
        <x:v>Comercial</x:v>
      </x:c>
      <x:c r="C10" s="84" t="str">
        <x:v>Socios / Comercial</x:v>
      </x:c>
      <x:c r="D10" s="84" t="n">
        <x:v>44</x:v>
      </x:c>
      <x:c r="E10" s="84" t="n">
        <x:v>44</x:v>
      </x:c>
      <x:c r="F10" s="84" t="n">
        <x:v>0</x:v>
      </x:c>
      <x:c r="G10" s="84" t="n">
        <x:v>0</x:v>
      </x:c>
      <x:c r="H10" s="84" t="n">
        <x:v>0</x:v>
      </x:c>
      <x:c r="I10" s="84" t="str">
        <x:v>Julio 2026</x:v>
      </x:c>
      <x:c r="J10" s="85" t="str">
        <x:v>Noviembre 2028</x:v>
      </x:c>
    </x:row>
    <x:row r="11" ht="22" customHeight="1">
      <x:c r="A11" s="83" t="str">
        <x:v>Documentación técnica</x:v>
      </x:c>
      <x:c r="B11" s="84" t="str">
        <x:v>Proyecto</x:v>
      </x:c>
      <x:c r="C11" s="84" t="str">
        <x:v>Rodrigo / Calculista / Instaladores</x:v>
      </x:c>
      <x:c r="D11" s="84" t="n">
        <x:v>7</x:v>
      </x:c>
      <x:c r="E11" s="84" t="n">
        <x:v>7</x:v>
      </x:c>
      <x:c r="F11" s="84" t="n">
        <x:v>0</x:v>
      </x:c>
      <x:c r="G11" s="84" t="n">
        <x:v>0</x:v>
      </x:c>
      <x:c r="H11" s="84" t="n">
        <x:v>0</x:v>
      </x:c>
      <x:c r="I11" s="84" t="str">
        <x:v>Agosto 2026</x:v>
      </x:c>
      <x:c r="J11" s="85" t="str">
        <x:v>Septiembre 2026</x:v>
      </x:c>
    </x:row>
    <x:row r="12" ht="22" customHeight="1">
      <x:c r="A12" s="83" t="str">
        <x:v>Municipalidad</x:v>
      </x:c>
      <x:c r="B12" s="84" t="str">
        <x:v>Tramitación</x:v>
      </x:c>
      <x:c r="C12" s="84" t="str">
        <x:v>Gestora / Rodrigo</x:v>
      </x:c>
      <x:c r="D12" s="84" t="n">
        <x:v>11</x:v>
      </x:c>
      <x:c r="E12" s="84" t="n">
        <x:v>11</x:v>
      </x:c>
      <x:c r="F12" s="84" t="n">
        <x:v>0</x:v>
      </x:c>
      <x:c r="G12" s="84" t="n">
        <x:v>0</x:v>
      </x:c>
      <x:c r="H12" s="84" t="n">
        <x:v>4</x:v>
      </x:c>
      <x:c r="I12" s="84" t="str">
        <x:v>Agosto 2026</x:v>
      </x:c>
      <x:c r="J12" s="85" t="str">
        <x:v>Noviembre 2028</x:v>
      </x:c>
    </x:row>
    <x:row r="13" ht="22" customHeight="1">
      <x:c r="A13" s="83" t="str">
        <x:v>Constructora</x:v>
      </x:c>
      <x:c r="B13" s="84" t="str">
        <x:v>Obra</x:v>
      </x:c>
      <x:c r="C13" s="84" t="str">
        <x:v>Socios / Constructora / Dirección de obra</x:v>
      </x:c>
      <x:c r="D13" s="84" t="n">
        <x:v>15</x:v>
      </x:c>
      <x:c r="E13" s="84" t="n">
        <x:v>15</x:v>
      </x:c>
      <x:c r="F13" s="84" t="n">
        <x:v>0</x:v>
      </x:c>
      <x:c r="G13" s="84" t="n">
        <x:v>0</x:v>
      </x:c>
      <x:c r="H13" s="84" t="n">
        <x:v>9</x:v>
      </x:c>
      <x:c r="I13" s="84" t="str">
        <x:v>Septiembre 2026</x:v>
      </x:c>
      <x:c r="J13" s="85" t="str">
        <x:v>Diciembre 2026</x:v>
      </x:c>
    </x:row>
    <x:row r="14" ht="22" customHeight="1">
      <x:c r="A14" s="83" t="str">
        <x:v>Obra preliminar</x:v>
      </x:c>
      <x:c r="B14" s="84" t="str">
        <x:v>Obra</x:v>
      </x:c>
      <x:c r="C14" s="84" t="str">
        <x:v>Constructora</x:v>
      </x:c>
      <x:c r="D14" s="84" t="n">
        <x:v>15</x:v>
      </x:c>
      <x:c r="E14" s="84" t="n">
        <x:v>15</x:v>
      </x:c>
      <x:c r="F14" s="84" t="n">
        <x:v>0</x:v>
      </x:c>
      <x:c r="G14" s="84" t="n">
        <x:v>0</x:v>
      </x:c>
      <x:c r="H14" s="84" t="n">
        <x:v>10</x:v>
      </x:c>
      <x:c r="I14" s="84" t="str">
        <x:v>Noviembre 2026</x:v>
      </x:c>
      <x:c r="J14" s="85" t="str">
        <x:v>Enero 2027</x:v>
      </x:c>
    </x:row>
    <x:row r="15" ht="22" customHeight="1">
      <x:c r="A15" s="83" t="str">
        <x:v>Excavación / Fundaciones</x:v>
      </x:c>
      <x:c r="B15" s="84" t="str">
        <x:v>Obra</x:v>
      </x:c>
      <x:c r="C15" s="84" t="str">
        <x:v>Constructora / Dirección de obra</x:v>
      </x:c>
      <x:c r="D15" s="84" t="n">
        <x:v>7</x:v>
      </x:c>
      <x:c r="E15" s="84" t="n">
        <x:v>7</x:v>
      </x:c>
      <x:c r="F15" s="84" t="n">
        <x:v>0</x:v>
      </x:c>
      <x:c r="G15" s="84" t="n">
        <x:v>0</x:v>
      </x:c>
      <x:c r="H15" s="84" t="n">
        <x:v>0</x:v>
      </x:c>
      <x:c r="I15" s="84" t="str">
        <x:v>Febrero 2027</x:v>
      </x:c>
      <x:c r="J15" s="85" t="str">
        <x:v>Marzo 2027</x:v>
      </x:c>
    </x:row>
    <x:row r="16" ht="22" customHeight="1">
      <x:c r="A16" s="83" t="str">
        <x:v>Estructura</x:v>
      </x:c>
      <x:c r="B16" s="84" t="str">
        <x:v>Obra</x:v>
      </x:c>
      <x:c r="C16" s="84" t="str">
        <x:v>Constructora</x:v>
      </x:c>
      <x:c r="D16" s="84" t="n">
        <x:v>22</x:v>
      </x:c>
      <x:c r="E16" s="84" t="n">
        <x:v>22</x:v>
      </x:c>
      <x:c r="F16" s="84" t="n">
        <x:v>0</x:v>
      </x:c>
      <x:c r="G16" s="84" t="n">
        <x:v>0</x:v>
      </x:c>
      <x:c r="H16" s="84" t="n">
        <x:v>0</x:v>
      </x:c>
      <x:c r="I16" s="84" t="str">
        <x:v>Marzo 2027</x:v>
      </x:c>
      <x:c r="J16" s="85" t="str">
        <x:v>Noviembre 2027</x:v>
      </x:c>
    </x:row>
    <x:row r="17" ht="22" customHeight="1">
      <x:c r="A17" s="83" t="str">
        <x:v>Compras / Proveedores</x:v>
      </x:c>
      <x:c r="B17" s="84" t="str">
        <x:v>Obra</x:v>
      </x:c>
      <x:c r="C17" s="84" t="str">
        <x:v>Socios / Dirección de obra / Rodrigo</x:v>
      </x:c>
      <x:c r="D17" s="84" t="n">
        <x:v>12</x:v>
      </x:c>
      <x:c r="E17" s="84" t="n">
        <x:v>12</x:v>
      </x:c>
      <x:c r="F17" s="84" t="n">
        <x:v>0</x:v>
      </x:c>
      <x:c r="G17" s="84" t="n">
        <x:v>0</x:v>
      </x:c>
      <x:c r="H17" s="84" t="n">
        <x:v>0</x:v>
      </x:c>
      <x:c r="I17" s="84" t="str">
        <x:v>Abril 2027</x:v>
      </x:c>
      <x:c r="J17" s="85" t="str">
        <x:v>Marzo 2028</x:v>
      </x:c>
    </x:row>
    <x:row r="18" ht="22" customHeight="1">
      <x:c r="A18" s="83" t="str">
        <x:v>Albañilería</x:v>
      </x:c>
      <x:c r="B18" s="84" t="str">
        <x:v>Obra</x:v>
      </x:c>
      <x:c r="C18" s="84" t="str">
        <x:v>Constructora</x:v>
      </x:c>
      <x:c r="D18" s="84" t="n">
        <x:v>9</x:v>
      </x:c>
      <x:c r="E18" s="84" t="n">
        <x:v>9</x:v>
      </x:c>
      <x:c r="F18" s="84" t="n">
        <x:v>0</x:v>
      </x:c>
      <x:c r="G18" s="84" t="n">
        <x:v>0</x:v>
      </x:c>
      <x:c r="H18" s="84" t="n">
        <x:v>0</x:v>
      </x:c>
      <x:c r="I18" s="84" t="str">
        <x:v>Julio 2027</x:v>
      </x:c>
      <x:c r="J18" s="85" t="str">
        <x:v>Enero 2028</x:v>
      </x:c>
    </x:row>
    <x:row r="19" ht="22" customHeight="1">
      <x:c r="A19" s="83" t="str">
        <x:v>Instalaciones</x:v>
      </x:c>
      <x:c r="B19" s="84" t="str">
        <x:v>Obra</x:v>
      </x:c>
      <x:c r="C19" s="84" t="str">
        <x:v>Instaladores</x:v>
      </x:c>
      <x:c r="D19" s="84" t="n">
        <x:v>14</x:v>
      </x:c>
      <x:c r="E19" s="84" t="n">
        <x:v>14</x:v>
      </x:c>
      <x:c r="F19" s="84" t="n">
        <x:v>0</x:v>
      </x:c>
      <x:c r="G19" s="84" t="n">
        <x:v>0</x:v>
      </x:c>
      <x:c r="H19" s="84" t="n">
        <x:v>0</x:v>
      </x:c>
      <x:c r="I19" s="84" t="str">
        <x:v>Julio 2027</x:v>
      </x:c>
      <x:c r="J19" s="85" t="str">
        <x:v>Febrero 2028</x:v>
      </x:c>
    </x:row>
    <x:row r="20" ht="22" customHeight="1">
      <x:c r="A20" s="83" t="str">
        <x:v>Ascensor</x:v>
      </x:c>
      <x:c r="B20" s="84" t="str">
        <x:v>Obra</x:v>
      </x:c>
      <x:c r="C20" s="84" t="str">
        <x:v>Socios / Constructora</x:v>
      </x:c>
      <x:c r="D20" s="84" t="n">
        <x:v>6</x:v>
      </x:c>
      <x:c r="E20" s="84" t="n">
        <x:v>6</x:v>
      </x:c>
      <x:c r="F20" s="84" t="n">
        <x:v>0</x:v>
      </x:c>
      <x:c r="G20" s="84" t="n">
        <x:v>0</x:v>
      </x:c>
      <x:c r="H20" s="84" t="n">
        <x:v>0</x:v>
      </x:c>
      <x:c r="I20" s="84" t="str">
        <x:v>Agosto 2027</x:v>
      </x:c>
      <x:c r="J20" s="85" t="str">
        <x:v>Agosto 2028</x:v>
      </x:c>
    </x:row>
    <x:row r="21" ht="22" customHeight="1">
      <x:c r="A21" s="83" t="str">
        <x:v>Fachada</x:v>
      </x:c>
      <x:c r="B21" s="84" t="str">
        <x:v>Obra</x:v>
      </x:c>
      <x:c r="C21" s="84" t="str">
        <x:v>Constructora</x:v>
      </x:c>
      <x:c r="D21" s="84" t="n">
        <x:v>13</x:v>
      </x:c>
      <x:c r="E21" s="84" t="n">
        <x:v>13</x:v>
      </x:c>
      <x:c r="F21" s="84" t="n">
        <x:v>0</x:v>
      </x:c>
      <x:c r="G21" s="84" t="n">
        <x:v>0</x:v>
      </x:c>
      <x:c r="H21" s="84" t="n">
        <x:v>0</x:v>
      </x:c>
      <x:c r="I21" s="84" t="str">
        <x:v>Agosto 2027</x:v>
      </x:c>
      <x:c r="J21" s="85" t="str">
        <x:v>Septiembre 2028</x:v>
      </x:c>
    </x:row>
    <x:row r="22" ht="22" customHeight="1">
      <x:c r="A22" s="83" t="str">
        <x:v>Control de obra</x:v>
      </x:c>
      <x:c r="B22" s="84" t="str">
        <x:v>Obra</x:v>
      </x:c>
      <x:c r="C22" s="84" t="str">
        <x:v>Dirección de obra / Constructora / Socios</x:v>
      </x:c>
      <x:c r="D22" s="84" t="n">
        <x:v>20</x:v>
      </x:c>
      <x:c r="E22" s="84" t="n">
        <x:v>20</x:v>
      </x:c>
      <x:c r="F22" s="84" t="n">
        <x:v>0</x:v>
      </x:c>
      <x:c r="G22" s="84" t="n">
        <x:v>0</x:v>
      </x:c>
      <x:c r="H22" s="84" t="n">
        <x:v>0</x:v>
      </x:c>
      <x:c r="I22" s="84" t="str">
        <x:v>Septiembre 2027</x:v>
      </x:c>
      <x:c r="J22" s="85" t="str">
        <x:v>Septiembre 2028</x:v>
      </x:c>
    </x:row>
    <x:row r="23" ht="22" customHeight="1">
      <x:c r="A23" s="83" t="str">
        <x:v>Terminaciones</x:v>
      </x:c>
      <x:c r="B23" s="84" t="str">
        <x:v>Obra</x:v>
      </x:c>
      <x:c r="C23" s="84" t="str">
        <x:v>Constructora</x:v>
      </x:c>
      <x:c r="D23" s="84" t="n">
        <x:v>50</x:v>
      </x:c>
      <x:c r="E23" s="84" t="n">
        <x:v>50</x:v>
      </x:c>
      <x:c r="F23" s="84" t="n">
        <x:v>0</x:v>
      </x:c>
      <x:c r="G23" s="84" t="n">
        <x:v>0</x:v>
      </x:c>
      <x:c r="H23" s="84" t="n">
        <x:v>0</x:v>
      </x:c>
      <x:c r="I23" s="84" t="str">
        <x:v>Noviembre 2027</x:v>
      </x:c>
      <x:c r="J23" s="85" t="str">
        <x:v>Agosto 2028</x:v>
      </x:c>
    </x:row>
    <x:row r="24" ht="22" customHeight="1">
      <x:c r="A24" s="83" t="str">
        <x:v>Espacios comunes</x:v>
      </x:c>
      <x:c r="B24" s="84" t="str">
        <x:v>Obra</x:v>
      </x:c>
      <x:c r="C24" s="84" t="str">
        <x:v>Rodrigo / Constructora</x:v>
      </x:c>
      <x:c r="D24" s="84" t="n">
        <x:v>12</x:v>
      </x:c>
      <x:c r="E24" s="84" t="n">
        <x:v>12</x:v>
      </x:c>
      <x:c r="F24" s="84" t="n">
        <x:v>0</x:v>
      </x:c>
      <x:c r="G24" s="84" t="n">
        <x:v>0</x:v>
      </x:c>
      <x:c r="H24" s="84" t="n">
        <x:v>0</x:v>
      </x:c>
      <x:c r="I24" s="84" t="str">
        <x:v>Febrero 2028</x:v>
      </x:c>
      <x:c r="J24" s="85" t="str">
        <x:v>Septiembre 2028</x:v>
      </x:c>
    </x:row>
    <x:row r="25" ht="22" customHeight="1">
      <x:c r="A25" s="83" t="str">
        <x:v>Cierre de obra</x:v>
      </x:c>
      <x:c r="B25" s="84" t="str">
        <x:v>Obra</x:v>
      </x:c>
      <x:c r="C25" s="84" t="str">
        <x:v>Socios / Constructora / Gestora</x:v>
      </x:c>
      <x:c r="D25" s="84" t="n">
        <x:v>14</x:v>
      </x:c>
      <x:c r="E25" s="84" t="n">
        <x:v>14</x:v>
      </x:c>
      <x:c r="F25" s="84" t="n">
        <x:v>0</x:v>
      </x:c>
      <x:c r="G25" s="84" t="n">
        <x:v>0</x:v>
      </x:c>
      <x:c r="H25" s="84" t="n">
        <x:v>12</x:v>
      </x:c>
      <x:c r="I25" s="84" t="str">
        <x:v>Octubre 2028</x:v>
      </x:c>
      <x:c r="J25" s="85" t="str">
        <x:v>Diciembre 2028</x:v>
      </x:c>
    </x:row>
    <x:row r="26" ht="22" customHeight="1">
      <x:c r="A26" s="83" t="str">
        <x:v>Entrega</x:v>
      </x:c>
      <x:c r="B26" s="84" t="str">
        <x:v>Entrega</x:v>
      </x:c>
      <x:c r="C26" s="84" t="str">
        <x:v>Socios / Constructora / Compradores</x:v>
      </x:c>
      <x:c r="D26" s="84" t="n">
        <x:v>6</x:v>
      </x:c>
      <x:c r="E26" s="84" t="n">
        <x:v>6</x:v>
      </x:c>
      <x:c r="F26" s="84" t="n">
        <x:v>0</x:v>
      </x:c>
      <x:c r="G26" s="84" t="n">
        <x:v>0</x:v>
      </x:c>
      <x:c r="H26" s="84" t="n">
        <x:v>6</x:v>
      </x:c>
      <x:c r="I26" s="84" t="str">
        <x:v>Noviembre 2028</x:v>
      </x:c>
      <x:c r="J26" s="85" t="str">
        <x:v>Diciembre 2028</x:v>
      </x:c>
    </x:row>
    <x:row r="27" ht="22" customHeight="1">
      <x:c r="A27" s="86" t="str">
        <x:v>Postventa</x:v>
      </x:c>
      <x:c r="B27" s="87" t="str">
        <x:v>Postventa</x:v>
      </x:c>
      <x:c r="C27" s="87" t="str">
        <x:v>Socios / Constructora</x:v>
      </x:c>
      <x:c r="D27" s="87" t="n">
        <x:v>9</x:v>
      </x:c>
      <x:c r="E27" s="87" t="n">
        <x:v>9</x:v>
      </x:c>
      <x:c r="F27" s="87" t="n">
        <x:v>0</x:v>
      </x:c>
      <x:c r="G27" s="87" t="n">
        <x:v>0</x:v>
      </x:c>
      <x:c r="H27" s="87" t="n">
        <x:v>0</x:v>
      </x:c>
      <x:c r="I27" s="87" t="str">
        <x:v>Diciembre 2028</x:v>
      </x:c>
      <x:c r="J27" s="88" t="str">
        <x:v>Febrero 2029</x:v>
      </x:c>
    </x:row>
  </x:sheetData>
  <x:pageMargins left="0.7" right="0.7" top="0.75" bottom="0.75" header="0.3" footer="0.3"/>
  <x:tableParts count="1">
    <x:tablePart xmlns:r="http://schemas.openxmlformats.org/officeDocument/2006/relationships" r:id="Rc9311a8808ad4f42"/>
  </x:tableParts>
</x:worksheet>
</file>