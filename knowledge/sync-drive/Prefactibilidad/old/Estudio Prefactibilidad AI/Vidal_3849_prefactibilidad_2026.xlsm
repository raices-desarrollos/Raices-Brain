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" sheetId="1" r:id="rId4"/>
    <sheet state="visible" name="Inputs" sheetId="2" r:id="rId5"/>
    <sheet state="visible" name="Superficies" sheetId="3" r:id="rId6"/>
    <sheet state="visible" name="Prefactibilidad" sheetId="4" r:id="rId7"/>
    <sheet state="visible" name="Flujo Anual" sheetId="5" r:id="rId8"/>
    <sheet state="visible" name="Escenarios" sheetId="6" r:id="rId9"/>
    <sheet state="visible" name="Fuentes" sheetId="7" r:id="rId10"/>
  </sheets>
  <definedNames/>
  <calcPr/>
  <extLst>
    <ext uri="GoogleSheetsCustomDataVersion2">
      <go:sheetsCustomData xmlns:go="http://customooxmlschemas.google.com/" r:id="rId11" roundtripDataChecksum="9PgxDgcLtv2ZUaljc2a/L2ZK/TvvwyMZvY2Ni97kzBQ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23">
      <text>
        <t xml:space="preserve">======
ID#AAAB5y4zf0g
tc=3zhx07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SGA-VDL-Analisis m2-2026.04.10.pdf. Superficie cubierta total 974,85 m².</t>
      </text>
    </comment>
    <comment authorId="0" ref="C50">
      <text>
        <t xml:space="preserve">======
ID#AAAB5y4zf0c
tc=10agwe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Agregado de escritura/retenciones/IIGG/cheque 7,7%.</t>
      </text>
    </comment>
    <comment authorId="0" ref="C48">
      <text>
        <t xml:space="preserve">======
ID#AAAB5y4zf0Y
tc=w4emi1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IVA construcción 10,5% sobre componente construcción.</t>
      </text>
    </comment>
    <comment authorId="0" ref="C44">
      <text>
        <t xml:space="preserve">======
ID#AAAB5y4zf0U
tc=sqqdhz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Desarrollo 4% del costo directo.</t>
      </text>
    </comment>
    <comment authorId="0" ref="C37">
      <text>
        <t xml:space="preserve">======
ID#AAAB5y4zf0Q
tc=chlfed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Estimado desde ratio de planilla base: cocheras PB 500 / viviendas 750, aplicado al costo 2026 informado.</t>
      </text>
    </comment>
    <comment authorId="0" ref="C30">
      <text>
        <t xml:space="preserve">======
ID#AAAB5y4zf0M
tc=x9hfi7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Precio base vivienda USD/m².</t>
      </text>
    </comment>
    <comment authorId="0" ref="C51">
      <text>
        <t xml:space="preserve">======
ID#AAAB5y4zf0I
tc=3xgxzw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Preventa 50%.</t>
      </text>
    </comment>
    <comment authorId="0" ref="C32">
      <text>
        <t xml:space="preserve">======
ID#AAAB5y4zf0E
tc=vodlr5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Estimado desde planilla base THORNE: preventa con 15% de descuento.</t>
      </text>
    </comment>
    <comment authorId="0" ref="C38">
      <text>
        <t xml:space="preserve">======
ID#AAAB5y4zf0A
tc=o4ofi8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Estimación prudencial editable para contingencia/imprevistos.</t>
      </text>
    </comment>
    <comment authorId="0" ref="C56">
      <text>
        <t xml:space="preserve">======
ID#AAAB5y4zfz8
tc=y6pyzd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Estimado desde planilla base THORNE: 35% venta terminado cobrada durante obra.</t>
      </text>
    </comment>
    <comment authorId="0" ref="C52">
      <text>
        <t xml:space="preserve">======
ID#AAAB5y4zfz4
tc=bkpynz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Venta durante obra 30%.</t>
      </text>
    </comment>
    <comment authorId="0" ref="C7">
      <text>
        <t xml:space="preserve">======
ID#AAAB5y4zfz0
tc=q7oprf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Terreno pagado completo, sin canje.</t>
      </text>
    </comment>
    <comment authorId="0" ref="C42">
      <text>
        <t xml:space="preserve">======
ID#AAAB5y4zfzs
tc=h35wp0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Asesores 1,5% del costo directo.</t>
      </text>
    </comment>
    <comment authorId="0" ref="C43">
      <text>
        <t xml:space="preserve">======
ID#AAAB5y4zfzo
tc=yy0ygj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Administración 1,5% del costo directo.</t>
      </text>
    </comment>
    <comment authorId="0" ref="C60">
      <text>
        <t xml:space="preserve">======
ID#AAAB5y4zfzk
tc=zg0ppt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Tasa anual 12% para VAN.</t>
      </text>
    </comment>
    <comment authorId="0" ref="C29">
      <text>
        <t xml:space="preserve">======
ID#AAAB5yrdrNg
tc=ung6qy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SGA-VDL-Analisis m2-2026.04.10.pdf. Total 6 espacios de cochera.</t>
      </text>
    </comment>
    <comment authorId="0" ref="C53">
      <text>
        <t xml:space="preserve">======
ID#AAAB5yrdrNc
tc=4wv5lp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Venta terminado 20%.</t>
      </text>
    </comment>
    <comment authorId="0" ref="C45">
      <text>
        <t xml:space="preserve">======
ID#AAAB5yrdrNY
tc=xxsk42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Estimación 2026 sobre base THORNE. Validar con costo real de derechos CABA.</t>
      </text>
    </comment>
    <comment authorId="0" ref="C18">
      <text>
        <t xml:space="preserve">======
ID#AAAB5yrdrNU
tc=ympm6d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SGA-VDL-Analisis m2-2026.04.10.pdf. Total vendible 827,57 m².</t>
      </text>
    </comment>
    <comment authorId="0" ref="C55">
      <text>
        <t xml:space="preserve">======
ID#AAAB5yrdrNQ
tc=eh7m46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Estimado desde planilla base THORNE: 75% venta durante obra cobrada durante obra.</t>
      </text>
    </comment>
    <comment authorId="0" ref="C41">
      <text>
        <t xml:space="preserve">======
ID#AAAB5yrdrNM
tc=g2sy70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Gerenciamiento 2% del costo directo.</t>
      </text>
    </comment>
    <comment authorId="0" ref="C12">
      <text>
        <t xml:space="preserve">======
ID#AAAB5yrdrNI
tc=omq201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Interpretado como 3% sobre precio de terreno.</t>
      </text>
    </comment>
    <comment authorId="0" ref="C49">
      <text>
        <t xml:space="preserve">======
ID#AAAB5yrdrNE
tc=wpsjfj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Comisión de venta 2%.</t>
      </text>
    </comment>
    <comment authorId="0" ref="C47">
      <text>
        <t xml:space="preserve">======
ID#AAAB5yrdrNA
tc=79o970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IVA promedio 12% sobre costos.</t>
      </text>
    </comment>
    <comment authorId="0" ref="C35">
      <text>
        <t xml:space="preserve">======
ID#AAAB5yrdrM8
tc=xy6so4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Costo vivienda/cubiertos USD 1.300/m².</t>
      </text>
    </comment>
    <comment authorId="0" ref="C40">
      <text>
        <t xml:space="preserve">======
ID#AAAB5yrdrM4
tc=uuvmr9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Dirección 3% del costo directo.</t>
      </text>
    </comment>
    <comment authorId="0" ref="C39">
      <text>
        <t xml:space="preserve">======
ID#AAAB5yrdrM0
tc=doljpp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Proyecto 3% del costo directo.</t>
      </text>
    </comment>
    <comment authorId="0" ref="C46">
      <text>
        <t xml:space="preserve">======
ID#AAAB5yrdrMw
tc=zx9i27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planilla base THORNE. Marketing 1,5% sobre ventas.</t>
      </text>
    </comment>
    <comment authorId="0" ref="C24">
      <text>
        <t xml:space="preserve">======
ID#AAAB5yrdrMs
tc=jc5tvv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SGA-VDL-Analisis m2-2026.04.10.pdf. Superficie total proyecto 1.217,60 m².</t>
      </text>
    </comment>
    <comment authorId="0" ref="C31">
      <text>
        <t xml:space="preserve">======
ID#AAAB5yrdrMo
tc=iq5u41    (2026-04-26 01:11:42)
[Threaded comment]
Your version of Excel allows you to read this threaded comment; however, any edits to it will get removed if the file is opened in a newer version of Excel. Learn more: https://go.microsoft.com/fwlink/?linkid=870924
Comment:
    Fuente: JSON del usuario. Precio cochera PB USD 30.000.</t>
      </text>
    </comment>
    <comment authorId="0" ref="C54">
      <text>
        <t xml:space="preserve">======
ID#AAAB5yrdrMk
tc=czads0    (2026-04-26 01:11:42)
[Threaded comment]
Your version of Excel allows you to read this threaded comment; however, any edits to it will get removed if the file is opened in a newer version of Excel. Learn more: https://go.microsoft.com/fwlink/?linkid=870924
Comment:
    Estimado desde planilla base THORNE: 100% preventa cobrada durante obra.</t>
      </text>
    </comment>
  </commentList>
  <extLst>
    <ext uri="GoogleSheetsCustomDataVersion2">
      <go:sheetsCustomData xmlns:go="http://customooxmlschemas.google.com/" r:id="rId1" roundtripDataSignature="AMtx7mhVI/pC/ozg7YmHzuUKhxwlgSwMCQ=="/>
    </ext>
  </extLst>
</comments>
</file>

<file path=xl/sharedStrings.xml><?xml version="1.0" encoding="utf-8"?>
<sst xmlns="http://schemas.openxmlformats.org/spreadsheetml/2006/main" count="504" uniqueCount="286">
  <si>
    <t>Vidal 3849 — Prefactibilidad 2026</t>
  </si>
  <si>
    <t>Modelo simplificado a partir de JSON, PDFs SGA y planilla base THORNE</t>
  </si>
  <si>
    <t>KPI</t>
  </si>
  <si>
    <t>Valor</t>
  </si>
  <si>
    <t>Unidad</t>
  </si>
  <si>
    <t>Lectura</t>
  </si>
  <si>
    <t>Ventas totales</t>
  </si>
  <si>
    <t>USD</t>
  </si>
  <si>
    <t>Incluye vivienda + cocheras, con mix de preventa/obra/terminado</t>
  </si>
  <si>
    <t>Costo total / inversión</t>
  </si>
  <si>
    <t>Terreno + obra + blandos + gastos venta</t>
  </si>
  <si>
    <t>Resultado del negocio</t>
  </si>
  <si>
    <t>Margen preliminar antes de estructura societaria detallada</t>
  </si>
  <si>
    <t>Rentabilidad sobre costo</t>
  </si>
  <si>
    <t>%</t>
  </si>
  <si>
    <t>Resultado / costo total</t>
  </si>
  <si>
    <t>MEC / Aportes socios</t>
  </si>
  <si>
    <t>Máxima necesidad de caja del flujo anual</t>
  </si>
  <si>
    <t>VAN</t>
  </si>
  <si>
    <t>Con tasa de descuento anual del 12%</t>
  </si>
  <si>
    <t>TIR</t>
  </si>
  <si>
    <t>TIR del flujo anual simplificado</t>
  </si>
  <si>
    <t>Supuestos clave</t>
  </si>
  <si>
    <t>Fuente</t>
  </si>
  <si>
    <t>Terreno</t>
  </si>
  <si>
    <t>Usuario / JSON</t>
  </si>
  <si>
    <t>Superficie vendible total</t>
  </si>
  <si>
    <t>m²</t>
  </si>
  <si>
    <t>SGA análisis superficies</t>
  </si>
  <si>
    <t>Precio base vivienda</t>
  </si>
  <si>
    <t>USD/m²</t>
  </si>
  <si>
    <t>Costo cubierto construcción</t>
  </si>
  <si>
    <t>Cocheras PB</t>
  </si>
  <si>
    <t>unidades</t>
  </si>
  <si>
    <t>Alertas / pendientes</t>
  </si>
  <si>
    <t>1</t>
  </si>
  <si>
    <t>Validar derechos de construcción y tributos exactos de CABA.</t>
  </si>
  <si>
    <t>2</t>
  </si>
  <si>
    <t>Confirmar si el precio USD/m² se aplica sobre superficie vendible total o sobre superficie ponderada.</t>
  </si>
  <si>
    <t>3</t>
  </si>
  <si>
    <t>Confirmar si se mantendrá el descuento de preventa estimado desde la planilla base.</t>
  </si>
  <si>
    <t>4</t>
  </si>
  <si>
    <t>Revisar costo real de obra con presupuesto de constructora / cómputo métrico.</t>
  </si>
  <si>
    <t>Flujo neto anual</t>
  </si>
  <si>
    <t>Año 1</t>
  </si>
  <si>
    <t>Año 2</t>
  </si>
  <si>
    <t>Año 3</t>
  </si>
  <si>
    <t>Año 4</t>
  </si>
  <si>
    <t>Año 5</t>
  </si>
  <si>
    <t>Saldo</t>
  </si>
  <si>
    <t>Saldo acumulado</t>
  </si>
  <si>
    <t>Categoría</t>
  </si>
  <si>
    <t>Input</t>
  </si>
  <si>
    <t>Comentario</t>
  </si>
  <si>
    <t>Proyecto</t>
  </si>
  <si>
    <t>Nombre</t>
  </si>
  <si>
    <t>Vidal 3849</t>
  </si>
  <si>
    <t>Fecha modelo</t>
  </si>
  <si>
    <t>2026-04-10</t>
  </si>
  <si>
    <t>PDF SGA / JSON</t>
  </si>
  <si>
    <t>Barrio</t>
  </si>
  <si>
    <t>Saavedra</t>
  </si>
  <si>
    <t>Normalizado desde 'saavedra'</t>
  </si>
  <si>
    <t>Ciudad</t>
  </si>
  <si>
    <t>CABA</t>
  </si>
  <si>
    <t>Superficie del terreno</t>
  </si>
  <si>
    <t>Precio terreno</t>
  </si>
  <si>
    <t>Terreno pagado completo, sin canje</t>
  </si>
  <si>
    <t>Cash por terreno</t>
  </si>
  <si>
    <t>Sin canje</t>
  </si>
  <si>
    <t>M2 entregados al vendedor</t>
  </si>
  <si>
    <t>Usuario</t>
  </si>
  <si>
    <t>Sin canje por m²</t>
  </si>
  <si>
    <t>Cocheras entregadas al vendedor</t>
  </si>
  <si>
    <t>cocheras</t>
  </si>
  <si>
    <t>Comisión inmobiliaria compra</t>
  </si>
  <si>
    <t>Escrituración y gastos legales</t>
  </si>
  <si>
    <t>Ingresado como 3%</t>
  </si>
  <si>
    <t>Plusvalía</t>
  </si>
  <si>
    <t>Otros gastos terreno</t>
  </si>
  <si>
    <t>Superficies</t>
  </si>
  <si>
    <t>Superficie vendible cubierta</t>
  </si>
  <si>
    <t>PDF SGA análisis superficies</t>
  </si>
  <si>
    <t>Superficie vendible semicubierta</t>
  </si>
  <si>
    <t>Superficie vendible descubierta</t>
  </si>
  <si>
    <t>Superficie común cubierta</t>
  </si>
  <si>
    <t>Superficie común semicubierta</t>
  </si>
  <si>
    <t>Superficie común descubierta</t>
  </si>
  <si>
    <t>Superficie común total</t>
  </si>
  <si>
    <t>Superficie cubierta total</t>
  </si>
  <si>
    <t>Superficie total proyecto</t>
  </si>
  <si>
    <t>Cocheras cubiertas PB</t>
  </si>
  <si>
    <t>Cocheras semicubiertas PB</t>
  </si>
  <si>
    <t>Cocheras descubiertas PB</t>
  </si>
  <si>
    <t>Producto</t>
  </si>
  <si>
    <t>Cantidad unidades</t>
  </si>
  <si>
    <t>PDF SGA brochure</t>
  </si>
  <si>
    <t>4 pisos x 3 unidades</t>
  </si>
  <si>
    <t>Cantidad cocheras PB</t>
  </si>
  <si>
    <t>Ventas</t>
  </si>
  <si>
    <t>Precio cochera PB</t>
  </si>
  <si>
    <t>USD/cochera</t>
  </si>
  <si>
    <t>Descuento preventa</t>
  </si>
  <si>
    <t>Estimado base planilla THORNE</t>
  </si>
  <si>
    <t>Base usaba -15% en preventa</t>
  </si>
  <si>
    <t>Variación venta durante obra</t>
  </si>
  <si>
    <t>Base usaba precio base</t>
  </si>
  <si>
    <t>Incremento venta terminado</t>
  </si>
  <si>
    <t>Base usaba +15% en terminado</t>
  </si>
  <si>
    <t>Costos obra</t>
  </si>
  <si>
    <t>Costo vivienda / cubiertos</t>
  </si>
  <si>
    <t>Costo exteriores</t>
  </si>
  <si>
    <t>Estimado base planilla THORNE + ajuste 2026</t>
  </si>
  <si>
    <t>Base: exteriores 200 vs vivienda 750; ratio aplicado a 1300</t>
  </si>
  <si>
    <t>Costo cocheras PB</t>
  </si>
  <si>
    <t>Base: cocheras PB 500 vs vivienda 750; ratio aplicado a 1300</t>
  </si>
  <si>
    <t>Imprevistos / contingencia</t>
  </si>
  <si>
    <t>Estimado prudencial 2026</t>
  </si>
  <si>
    <t>Editable</t>
  </si>
  <si>
    <t>Costos blandos</t>
  </si>
  <si>
    <t>% s/costo directo</t>
  </si>
  <si>
    <t>Base planilla THORNE</t>
  </si>
  <si>
    <t>Dirección</t>
  </si>
  <si>
    <t>Gerenciamiento</t>
  </si>
  <si>
    <t>Asesores</t>
  </si>
  <si>
    <t>Administración</t>
  </si>
  <si>
    <t>Desarrollo</t>
  </si>
  <si>
    <t>Derechos construcción</t>
  </si>
  <si>
    <t>USD/m² total proyecto</t>
  </si>
  <si>
    <t>Estimado 2026 sobre base THORNE</t>
  </si>
  <si>
    <t>Base tenía USD 10/m²; ajustado para 2026</t>
  </si>
  <si>
    <t>Marketing y promoción</t>
  </si>
  <si>
    <t>% s/ventas</t>
  </si>
  <si>
    <t>Impuestos</t>
  </si>
  <si>
    <t>IVA promedio costos</t>
  </si>
  <si>
    <t>IVA venta construcción</t>
  </si>
  <si>
    <t>Comisión venta</t>
  </si>
  <si>
    <t>Gastos escritura/retenciones/IIGG/cheque</t>
  </si>
  <si>
    <t>Estimación agregada</t>
  </si>
  <si>
    <t>Plan comercial</t>
  </si>
  <si>
    <t>Preventa</t>
  </si>
  <si>
    <t>% de ventas</t>
  </si>
  <si>
    <t>Venta durante obra</t>
  </si>
  <si>
    <t>Venta terminado</t>
  </si>
  <si>
    <t>Cobranza</t>
  </si>
  <si>
    <t>Cobro preventa durante obra</t>
  </si>
  <si>
    <t>% cobrado durante obra</t>
  </si>
  <si>
    <t>Cobro venta obra durante obra</t>
  </si>
  <si>
    <t>Cobro venta terminado durante obra</t>
  </si>
  <si>
    <t>Plazos</t>
  </si>
  <si>
    <t>Proyecto y tramitación</t>
  </si>
  <si>
    <t>meses</t>
  </si>
  <si>
    <t>Obra</t>
  </si>
  <si>
    <t>Usuario / escenario conservador</t>
  </si>
  <si>
    <t>Post construcción</t>
  </si>
  <si>
    <t>Finanzas</t>
  </si>
  <si>
    <t>Tasa descuento VAN</t>
  </si>
  <si>
    <t>% anual</t>
  </si>
  <si>
    <t>Estructura</t>
  </si>
  <si>
    <t>Gastos sobre beneficio</t>
  </si>
  <si>
    <t>% beneficio</t>
  </si>
  <si>
    <t>Fee éxito desarrollador</t>
  </si>
  <si>
    <t>Participación socios originantes</t>
  </si>
  <si>
    <t>Escenarios</t>
  </si>
  <si>
    <t>Conservador precio venta</t>
  </si>
  <si>
    <t>Conservador costo obra</t>
  </si>
  <si>
    <t>Conservador plazo obra</t>
  </si>
  <si>
    <t>Optimista precio venta</t>
  </si>
  <si>
    <t>Optimista costo obra</t>
  </si>
  <si>
    <t>Optimista plazo obra</t>
  </si>
  <si>
    <t>Unidad / Sector</t>
  </si>
  <si>
    <t>Cantidad</t>
  </si>
  <si>
    <t>M2 cubiertos unit.</t>
  </si>
  <si>
    <t>M2 exteriores unit.</t>
  </si>
  <si>
    <t>M2 total unit.</t>
  </si>
  <si>
    <t>M2 cubiertos totales</t>
  </si>
  <si>
    <t>M2 exteriores totales</t>
  </si>
  <si>
    <t>M2 totales</t>
  </si>
  <si>
    <t>Depto A - 3 ambientes</t>
  </si>
  <si>
    <t>Depto B - Monoambiente</t>
  </si>
  <si>
    <t>Depto C - 2 ambientes</t>
  </si>
  <si>
    <t>Subtotal unidades</t>
  </si>
  <si>
    <t>Resumen SGA</t>
  </si>
  <si>
    <t>Vendible cubierta</t>
  </si>
  <si>
    <t>Vendible semicubierta</t>
  </si>
  <si>
    <t>Vendible descubierta</t>
  </si>
  <si>
    <t>Vendible total</t>
  </si>
  <si>
    <t>Común total</t>
  </si>
  <si>
    <t>Cubierta total proyecto</t>
  </si>
  <si>
    <t>Prefactibilidad Vidal 3849</t>
  </si>
  <si>
    <t>INGRESOS</t>
  </si>
  <si>
    <t>Concepto</t>
  </si>
  <si>
    <t>Cantidad / m2</t>
  </si>
  <si>
    <t>Precio / factor</t>
  </si>
  <si>
    <t>Total USD</t>
  </si>
  <si>
    <t>Preventa viviendas + cocheras</t>
  </si>
  <si>
    <t>Venta durante obra viviendas + cocheras</t>
  </si>
  <si>
    <t>Venta terminado viviendas + cocheras</t>
  </si>
  <si>
    <t>TOTAL VENTAS</t>
  </si>
  <si>
    <t>Precio promedio realizado s/m2 vendible</t>
  </si>
  <si>
    <t>m2 vendibles</t>
  </si>
  <si>
    <t>COSTOS DEL PROYECTO</t>
  </si>
  <si>
    <t>Escrituración y gastos legales terreno</t>
  </si>
  <si>
    <t>Comisión compra terreno</t>
  </si>
  <si>
    <t>Plusvalía / otros gastos terreno</t>
  </si>
  <si>
    <t>TOTAL TERRENO</t>
  </si>
  <si>
    <t>Cubiertos no cocheras</t>
  </si>
  <si>
    <t>Exteriores no cocheras</t>
  </si>
  <si>
    <t>Costo directo construcción</t>
  </si>
  <si>
    <t>TOTAL COSTOS BLANDOS</t>
  </si>
  <si>
    <t>IVA crédito costos</t>
  </si>
  <si>
    <t>TOTAL OBRA + BLANDOS + IVA</t>
  </si>
  <si>
    <t>GASTOS DE VENTA</t>
  </si>
  <si>
    <t>Comisión de venta</t>
  </si>
  <si>
    <t>IVA a pagar estimado</t>
  </si>
  <si>
    <t>TOTAL GASTOS VENTA</t>
  </si>
  <si>
    <t>RESULTADO</t>
  </si>
  <si>
    <t>TOTAL COSTOS / INVERSIÓN</t>
  </si>
  <si>
    <t>RESULTADO DEL NEGOCIO</t>
  </si>
  <si>
    <t>Rentabilidad sobre ventas</t>
  </si>
  <si>
    <t>Incidencia tierra sobre m2 cubiertos vendibles</t>
  </si>
  <si>
    <t>Costo total sin tierra sobre m2 cubiertos vendibles</t>
  </si>
  <si>
    <t>Costo total con tierra sobre m2 cubiertos vendibles</t>
  </si>
  <si>
    <t>Fondeo durante obra</t>
  </si>
  <si>
    <t>Capital propio requerido simple</t>
  </si>
  <si>
    <t>Recupero post entrega</t>
  </si>
  <si>
    <t>Beneficio socios originantes</t>
  </si>
  <si>
    <t>NOTA</t>
  </si>
  <si>
    <t>Los costos sin dato fueron estimados desde ratios de la planilla base y ajustados al costo 2026 informado.</t>
  </si>
  <si>
    <t>Flujo de fondos anual - Vidal 3849</t>
  </si>
  <si>
    <t>Total</t>
  </si>
  <si>
    <t>Año 1 Preconstrucción</t>
  </si>
  <si>
    <t>Año 2 Obra</t>
  </si>
  <si>
    <t>Año 3 Obra</t>
  </si>
  <si>
    <t>Año 4 Entrega</t>
  </si>
  <si>
    <t>Año 5 Post</t>
  </si>
  <si>
    <t>EGRESOS</t>
  </si>
  <si>
    <t>Terreno + gastos compra</t>
  </si>
  <si>
    <t>IVA costos</t>
  </si>
  <si>
    <t>Gastos de venta</t>
  </si>
  <si>
    <t>TOTAL EGRESOS</t>
  </si>
  <si>
    <t>TOTAL INGRESOS</t>
  </si>
  <si>
    <t>FLUJO</t>
  </si>
  <si>
    <t>SALDO</t>
  </si>
  <si>
    <t>SALDO ACUMULADO</t>
  </si>
  <si>
    <t>INDICADORES</t>
  </si>
  <si>
    <t>Resultado total</t>
  </si>
  <si>
    <t>Rentabilidad resultado / MEC</t>
  </si>
  <si>
    <t>Tasa descuento</t>
  </si>
  <si>
    <t>Escenarios comparativos</t>
  </si>
  <si>
    <t>Escenario</t>
  </si>
  <si>
    <t>Precio vivienda USD/m²</t>
  </si>
  <si>
    <t>Costo cubiertos USD/m²</t>
  </si>
  <si>
    <t>Plazo obra meses</t>
  </si>
  <si>
    <t>Ventas USD</t>
  </si>
  <si>
    <t>Costo total USD</t>
  </si>
  <si>
    <t>Resultado USD</t>
  </si>
  <si>
    <t>ROI s/costo</t>
  </si>
  <si>
    <t>Capital propio simple</t>
  </si>
  <si>
    <t>Nota</t>
  </si>
  <si>
    <t>Base / JSON</t>
  </si>
  <si>
    <t>Usa descuentos de preventa y terminado de la base</t>
  </si>
  <si>
    <t>Conservador</t>
  </si>
  <si>
    <t>Mismo precio/costo que los datos cargados</t>
  </si>
  <si>
    <t>Optimista</t>
  </si>
  <si>
    <t>Precio 3400, costo 1200, obra 24 meses</t>
  </si>
  <si>
    <t>Fuente / Supuesto</t>
  </si>
  <si>
    <t>Detalle</t>
  </si>
  <si>
    <t>Uso en modelo</t>
  </si>
  <si>
    <t>JSON enviado por usuario</t>
  </si>
  <si>
    <t>Datos económicos y comerciales de Vidal 3849</t>
  </si>
  <si>
    <t>Terreno, precio de venta, costo de obra, cocheras, escenarios</t>
  </si>
  <si>
    <t>SGA-VDL-Analisis m2-2026.04.10.pdf</t>
  </si>
  <si>
    <t>Análisis de superficies del proyecto Vidal 3849, fecha 10/4/2026</t>
  </si>
  <si>
    <t>Superficies vendibles, comunes, cubiertas, total proyecto, cocheras</t>
  </si>
  <si>
    <t>SGA-VDL-ARQ-Brochure-2026.04.10_c cotas.pdf</t>
  </si>
  <si>
    <t>Brochure arquitectónico con plantas y unidades</t>
  </si>
  <si>
    <t>Mix de unidades: 3 amb., monoambiente y 2 amb.</t>
  </si>
  <si>
    <t>THORNE 1280 260416 (2).xlsx</t>
  </si>
  <si>
    <t>Planilla base de prefactibilidad provista por el usuario</t>
  </si>
  <si>
    <t>Ratios de costos blandos, ventas, impuestos y cobranza</t>
  </si>
  <si>
    <t>Estimación 2026</t>
  </si>
  <si>
    <t>Costos exteriores y cocheras derivados de ratios de la planilla base y del costo cubierto informado</t>
  </si>
  <si>
    <t>Costo exterior = USD 350/m²; cochera PB = USD 850/m²</t>
  </si>
  <si>
    <t>Las celdas duras/editables están en azul. Las celdas estimadas importantes tienen fondo amarillo.</t>
  </si>
  <si>
    <t>El usuario puede ajustar los supuestos en Inputs y el modelo recalcula.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</si>
</sst>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$#,##0;[Red]($#,##0);-"/>
    <numFmt numFmtId="165" formatCode="0.0%;[Red](0.0%);-"/>
    <numFmt numFmtId="166" formatCode="0.0%"/>
    <numFmt numFmtId="167" formatCode="0.0x"/>
  </numFmts>
  <fonts count="13">
    <font>
      <sz val="11.0"/>
      <color rgb="FF000000"/>
      <name val="Carlito"/>
      <scheme val="minor"/>
    </font>
    <font>
      <b/>
      <sz val="18.0"/>
      <color rgb="FF1F2937"/>
      <name val="Aptos"/>
    </font>
    <font/>
    <font>
      <i/>
      <sz val="10.0"/>
      <color rgb="FF4B5563"/>
      <name val="Aptos"/>
    </font>
    <font>
      <sz val="10.0"/>
      <color rgb="FF1F2937"/>
      <name val="Aptos"/>
    </font>
    <font>
      <b/>
      <sz val="10.0"/>
      <color rgb="FF1F2937"/>
      <name val="Aptos"/>
    </font>
    <font>
      <b/>
      <sz val="11.0"/>
      <color theme="1"/>
      <name val="Carlito"/>
    </font>
    <font>
      <sz val="11.0"/>
      <color theme="1"/>
      <name val="Carlito"/>
    </font>
    <font>
      <sz val="10.0"/>
      <color rgb="FF0000FF"/>
      <name val="Aptos"/>
    </font>
    <font>
      <sz val="10.0"/>
      <color rgb="FF0000FF"/>
      <name val="Arial"/>
    </font>
    <font>
      <b/>
      <sz val="16.0"/>
      <color rgb="FF1F2937"/>
      <name val="Aptos"/>
    </font>
    <font>
      <sz val="10.0"/>
      <color rgb="FF1F2937"/>
      <name val="Arial"/>
    </font>
    <font>
      <color theme="1"/>
      <name val="Carlito"/>
      <scheme val="minor"/>
    </font>
  </fonts>
  <fills count="7">
    <fill>
      <patternFill patternType="none"/>
    </fill>
    <fill>
      <patternFill patternType="lightGray"/>
    </fill>
    <fill>
      <patternFill patternType="solid">
        <fgColor rgb="FFE7EEF8"/>
        <bgColor rgb="FFE7EEF8"/>
      </patternFill>
    </fill>
    <fill>
      <patternFill patternType="solid">
        <fgColor rgb="FFF3F4F6"/>
        <bgColor rgb="FFF3F4F6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rgb="FFFFFF00"/>
      </patternFill>
    </fill>
  </fills>
  <borders count="20">
    <border/>
    <border>
      <left style="thin">
        <color rgb="FFCBD5E1"/>
      </left>
      <top style="thin">
        <color rgb="FFCBD5E1"/>
      </top>
      <bottom style="thin">
        <color rgb="FFE5E7EB"/>
      </bottom>
    </border>
    <border>
      <top style="thin">
        <color rgb="FFCBD5E1"/>
      </top>
      <bottom style="thin">
        <color rgb="FFE5E7EB"/>
      </bottom>
    </border>
    <border>
      <right style="thin">
        <color rgb="FFCBD5E1"/>
      </right>
      <top style="thin">
        <color rgb="FFCBD5E1"/>
      </top>
      <bottom style="thin">
        <color rgb="FFE5E7EB"/>
      </bottom>
    </border>
    <border>
      <left style="thin">
        <color rgb="FFCBD5E1"/>
      </left>
      <top style="thin">
        <color rgb="FFE5E7EB"/>
      </top>
      <bottom style="thin">
        <color rgb="FFE5E7EB"/>
      </bottom>
    </border>
    <border>
      <top style="thin">
        <color rgb="FFE5E7EB"/>
      </top>
      <bottom style="thin">
        <color rgb="FFE5E7EB"/>
      </bottom>
    </border>
    <border>
      <right style="thin">
        <color rgb="FFCBD5E1"/>
      </right>
      <top style="thin">
        <color rgb="FFE5E7EB"/>
      </top>
      <bottom style="thin">
        <color rgb="FFE5E7EB"/>
      </bottom>
    </border>
    <border>
      <left style="thin">
        <color rgb="FFCBD5E1"/>
      </left>
      <right style="thin">
        <color rgb="FFE5E7EB"/>
      </right>
      <top style="thin">
        <color rgb="FFE5E7EB"/>
      </top>
      <bottom style="thin">
        <color rgb="FFE5E7EB"/>
      </bottom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</border>
    <border>
      <left style="thin">
        <color rgb="FFE5E7EB"/>
      </left>
      <right style="thin">
        <color rgb="FFCBD5E1"/>
      </right>
      <top style="thin">
        <color rgb="FFE5E7EB"/>
      </top>
      <bottom style="thin">
        <color rgb="FFE5E7EB"/>
      </bottom>
    </border>
    <border>
      <left style="thin">
        <color rgb="FFE5E7EB"/>
      </left>
      <top style="thin">
        <color rgb="FFE5E7EB"/>
      </top>
      <bottom style="thin">
        <color rgb="FFE5E7EB"/>
      </bottom>
    </border>
    <border>
      <left style="thin">
        <color rgb="FFCBD5E1"/>
      </left>
      <right style="thin">
        <color rgb="FFE5E7EB"/>
      </right>
      <top style="thin">
        <color rgb="FFE5E7EB"/>
      </top>
      <bottom style="thin">
        <color rgb="FFCBD5E1"/>
      </bottom>
    </border>
    <border>
      <left style="thin">
        <color rgb="FFE5E7EB"/>
      </left>
      <top style="thin">
        <color rgb="FFE5E7EB"/>
      </top>
      <bottom style="thin">
        <color rgb="FFCBD5E1"/>
      </bottom>
    </border>
    <border>
      <top style="thin">
        <color rgb="FFE5E7EB"/>
      </top>
      <bottom style="thin">
        <color rgb="FFCBD5E1"/>
      </bottom>
    </border>
    <border>
      <right style="thin">
        <color rgb="FFCBD5E1"/>
      </right>
      <top style="thin">
        <color rgb="FFE5E7EB"/>
      </top>
      <bottom style="thin">
        <color rgb="FFCBD5E1"/>
      </bottom>
    </border>
    <border>
      <left style="thin">
        <color rgb="FFCBD5E1"/>
      </left>
      <right style="thin">
        <color rgb="FFE5E7EB"/>
      </right>
      <top style="thin">
        <color rgb="FFCBD5E1"/>
      </top>
      <bottom style="thin">
        <color rgb="FFE5E7EB"/>
      </bottom>
    </border>
    <border>
      <left style="thin">
        <color rgb="FFE5E7EB"/>
      </left>
      <right style="thin">
        <color rgb="FFE5E7EB"/>
      </right>
      <top style="thin">
        <color rgb="FFCBD5E1"/>
      </top>
      <bottom style="thin">
        <color rgb="FFE5E7EB"/>
      </bottom>
    </border>
    <border>
      <left style="thin">
        <color rgb="FFE5E7EB"/>
      </left>
      <right style="thin">
        <color rgb="FFCBD5E1"/>
      </right>
      <top style="thin">
        <color rgb="FFCBD5E1"/>
      </top>
      <bottom style="thin">
        <color rgb="FFE5E7EB"/>
      </bottom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CBD5E1"/>
      </bottom>
    </border>
    <border>
      <left style="thin">
        <color rgb="FFE5E7EB"/>
      </left>
      <right style="thin">
        <color rgb="FFCBD5E1"/>
      </right>
      <top style="thin">
        <color rgb="FFE5E7EB"/>
      </top>
      <bottom style="thin">
        <color rgb="FFCBD5E1"/>
      </bottom>
    </border>
  </borders>
  <cellStyleXfs count="1">
    <xf borderId="0" fillId="0" fontId="0" numFmtId="0" applyAlignment="1" applyFont="1"/>
  </cellStyleXfs>
  <cellXfs count="9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 shrinkToFit="0" wrapText="1"/>
    </xf>
    <xf borderId="2" fillId="0" fontId="2" numFmtId="0" xfId="0" applyBorder="1" applyFont="1"/>
    <xf borderId="3" fillId="0" fontId="2" numFmtId="0" xfId="0" applyBorder="1" applyFont="1"/>
    <xf borderId="4" fillId="0" fontId="3" numFmtId="0" xfId="0" applyAlignment="1" applyBorder="1" applyFont="1">
      <alignment horizontal="left" shrinkToFit="0" wrapText="1"/>
    </xf>
    <xf borderId="5" fillId="0" fontId="2" numFmtId="0" xfId="0" applyBorder="1" applyFont="1"/>
    <xf borderId="6" fillId="0" fontId="2" numFmtId="0" xfId="0" applyBorder="1" applyFont="1"/>
    <xf borderId="7" fillId="0" fontId="4" numFmtId="0" xfId="0" applyAlignment="1" applyBorder="1" applyFont="1">
      <alignment shrinkToFit="0" wrapText="1"/>
    </xf>
    <xf borderId="8" fillId="0" fontId="4" numFmtId="0" xfId="0" applyAlignment="1" applyBorder="1" applyFont="1">
      <alignment shrinkToFit="0" wrapText="1"/>
    </xf>
    <xf borderId="9" fillId="0" fontId="4" numFmtId="0" xfId="0" applyAlignment="1" applyBorder="1" applyFont="1">
      <alignment shrinkToFit="0" wrapText="1"/>
    </xf>
    <xf borderId="7" fillId="3" fontId="5" numFmtId="0" xfId="0" applyAlignment="1" applyBorder="1" applyFill="1" applyFont="1">
      <alignment shrinkToFit="0" wrapText="1"/>
    </xf>
    <xf borderId="8" fillId="3" fontId="5" numFmtId="0" xfId="0" applyAlignment="1" applyBorder="1" applyFont="1">
      <alignment shrinkToFit="0" wrapText="1"/>
    </xf>
    <xf borderId="9" fillId="3" fontId="5" numFmtId="0" xfId="0" applyAlignment="1" applyBorder="1" applyFont="1">
      <alignment shrinkToFit="0" wrapText="1"/>
    </xf>
    <xf borderId="8" fillId="0" fontId="4" numFmtId="164" xfId="0" applyAlignment="1" applyBorder="1" applyFont="1" applyNumberFormat="1">
      <alignment shrinkToFit="0" wrapText="1"/>
    </xf>
    <xf borderId="8" fillId="0" fontId="4" numFmtId="165" xfId="0" applyAlignment="1" applyBorder="1" applyFont="1" applyNumberFormat="1">
      <alignment shrinkToFit="0" wrapText="1"/>
    </xf>
    <xf borderId="7" fillId="4" fontId="5" numFmtId="0" xfId="0" applyAlignment="1" applyBorder="1" applyFill="1" applyFont="1">
      <alignment shrinkToFit="0" wrapText="1"/>
    </xf>
    <xf borderId="8" fillId="4" fontId="5" numFmtId="0" xfId="0" applyAlignment="1" applyBorder="1" applyFont="1">
      <alignment shrinkToFit="0" wrapText="1"/>
    </xf>
    <xf borderId="9" fillId="4" fontId="5" numFmtId="0" xfId="0" applyAlignment="1" applyBorder="1" applyFont="1">
      <alignment shrinkToFit="0" wrapText="1"/>
    </xf>
    <xf borderId="8" fillId="0" fontId="4" numFmtId="4" xfId="0" applyAlignment="1" applyBorder="1" applyFont="1" applyNumberFormat="1">
      <alignment shrinkToFit="0" wrapText="1"/>
    </xf>
    <xf borderId="10" fillId="0" fontId="4" numFmtId="0" xfId="0" applyAlignment="1" applyBorder="1" applyFont="1">
      <alignment shrinkToFit="0" wrapText="1"/>
    </xf>
    <xf borderId="11" fillId="0" fontId="4" numFmtId="0" xfId="0" applyAlignment="1" applyBorder="1" applyFont="1">
      <alignment shrinkToFit="0" wrapText="1"/>
    </xf>
    <xf borderId="12" fillId="0" fontId="4" numFmtId="0" xfId="0" applyAlignment="1" applyBorder="1" applyFont="1">
      <alignment shrinkToFit="0" wrapText="1"/>
    </xf>
    <xf borderId="13" fillId="0" fontId="2" numFmtId="0" xfId="0" applyBorder="1" applyFont="1"/>
    <xf borderId="14" fillId="0" fontId="2" numFmtId="0" xfId="0" applyBorder="1" applyFont="1"/>
    <xf borderId="15" fillId="3" fontId="6" numFmtId="0" xfId="0" applyBorder="1" applyFont="1"/>
    <xf borderId="16" fillId="3" fontId="6" numFmtId="0" xfId="0" applyBorder="1" applyFont="1"/>
    <xf borderId="17" fillId="3" fontId="6" numFmtId="0" xfId="0" applyBorder="1" applyFont="1"/>
    <xf borderId="7" fillId="0" fontId="6" numFmtId="0" xfId="0" applyBorder="1" applyFont="1"/>
    <xf borderId="8" fillId="0" fontId="7" numFmtId="164" xfId="0" applyBorder="1" applyFont="1" applyNumberFormat="1"/>
    <xf borderId="9" fillId="0" fontId="7" numFmtId="164" xfId="0" applyBorder="1" applyFont="1" applyNumberFormat="1"/>
    <xf borderId="11" fillId="0" fontId="6" numFmtId="0" xfId="0" applyBorder="1" applyFont="1"/>
    <xf borderId="18" fillId="0" fontId="7" numFmtId="164" xfId="0" applyBorder="1" applyFont="1" applyNumberFormat="1"/>
    <xf borderId="19" fillId="0" fontId="7" numFmtId="164" xfId="0" applyBorder="1" applyFont="1" applyNumberFormat="1"/>
    <xf borderId="15" fillId="3" fontId="5" numFmtId="0" xfId="0" applyAlignment="1" applyBorder="1" applyFont="1">
      <alignment shrinkToFit="0" wrapText="1"/>
    </xf>
    <xf borderId="16" fillId="3" fontId="5" numFmtId="0" xfId="0" applyAlignment="1" applyBorder="1" applyFont="1">
      <alignment shrinkToFit="0" wrapText="1"/>
    </xf>
    <xf borderId="17" fillId="3" fontId="5" numFmtId="0" xfId="0" applyAlignment="1" applyBorder="1" applyFont="1">
      <alignment shrinkToFit="0" wrapText="1"/>
    </xf>
    <xf borderId="8" fillId="0" fontId="8" numFmtId="0" xfId="0" applyAlignment="1" applyBorder="1" applyFont="1">
      <alignment shrinkToFit="0" wrapText="1"/>
    </xf>
    <xf borderId="8" fillId="0" fontId="8" numFmtId="164" xfId="0" applyAlignment="1" applyBorder="1" applyFont="1" applyNumberFormat="1">
      <alignment shrinkToFit="0" wrapText="1"/>
    </xf>
    <xf borderId="8" fillId="0" fontId="8" numFmtId="165" xfId="0" applyAlignment="1" applyBorder="1" applyFont="1" applyNumberFormat="1">
      <alignment shrinkToFit="0" wrapText="1"/>
    </xf>
    <xf borderId="8" fillId="0" fontId="8" numFmtId="4" xfId="0" applyAlignment="1" applyBorder="1" applyFont="1" applyNumberFormat="1">
      <alignment shrinkToFit="0" wrapText="1"/>
    </xf>
    <xf borderId="8" fillId="0" fontId="9" numFmtId="4" xfId="0" applyAlignment="1" applyBorder="1" applyFont="1" applyNumberFormat="1">
      <alignment readingOrder="0" shrinkToFit="0" wrapText="1"/>
    </xf>
    <xf borderId="8" fillId="0" fontId="8" numFmtId="164" xfId="0" applyAlignment="1" applyBorder="1" applyFont="1" applyNumberFormat="1">
      <alignment readingOrder="0" shrinkToFit="0" wrapText="1"/>
    </xf>
    <xf borderId="7" fillId="5" fontId="4" numFmtId="0" xfId="0" applyAlignment="1" applyBorder="1" applyFill="1" applyFont="1">
      <alignment shrinkToFit="0" wrapText="1"/>
    </xf>
    <xf borderId="8" fillId="5" fontId="4" numFmtId="0" xfId="0" applyAlignment="1" applyBorder="1" applyFont="1">
      <alignment shrinkToFit="0" wrapText="1"/>
    </xf>
    <xf borderId="8" fillId="5" fontId="8" numFmtId="165" xfId="0" applyAlignment="1" applyBorder="1" applyFont="1" applyNumberFormat="1">
      <alignment shrinkToFit="0" wrapText="1"/>
    </xf>
    <xf borderId="9" fillId="5" fontId="4" numFmtId="0" xfId="0" applyAlignment="1" applyBorder="1" applyFont="1">
      <alignment shrinkToFit="0" wrapText="1"/>
    </xf>
    <xf borderId="8" fillId="5" fontId="9" numFmtId="9" xfId="0" applyAlignment="1" applyBorder="1" applyFont="1" applyNumberFormat="1">
      <alignment readingOrder="0" shrinkToFit="0" wrapText="1"/>
    </xf>
    <xf borderId="8" fillId="0" fontId="9" numFmtId="164" xfId="0" applyAlignment="1" applyBorder="1" applyFont="1" applyNumberFormat="1">
      <alignment readingOrder="0" shrinkToFit="0" wrapText="1"/>
    </xf>
    <xf borderId="8" fillId="5" fontId="9" numFmtId="164" xfId="0" applyAlignment="1" applyBorder="1" applyFont="1" applyNumberFormat="1">
      <alignment readingOrder="0" shrinkToFit="0" wrapText="1"/>
    </xf>
    <xf borderId="8" fillId="5" fontId="8" numFmtId="166" xfId="0" applyAlignment="1" applyBorder="1" applyFont="1" applyNumberFormat="1">
      <alignment shrinkToFit="0" wrapText="1"/>
    </xf>
    <xf borderId="8" fillId="5" fontId="9" numFmtId="166" xfId="0" applyAlignment="1" applyBorder="1" applyFont="1" applyNumberFormat="1">
      <alignment readingOrder="0" shrinkToFit="0" wrapText="1"/>
    </xf>
    <xf borderId="8" fillId="5" fontId="8" numFmtId="164" xfId="0" applyAlignment="1" applyBorder="1" applyFont="1" applyNumberFormat="1">
      <alignment shrinkToFit="0" wrapText="1"/>
    </xf>
    <xf borderId="8" fillId="0" fontId="9" numFmtId="9" xfId="0" applyAlignment="1" applyBorder="1" applyFont="1" applyNumberFormat="1">
      <alignment readingOrder="0" shrinkToFit="0" wrapText="1"/>
    </xf>
    <xf borderId="8" fillId="5" fontId="8" numFmtId="1" xfId="0" applyAlignment="1" applyBorder="1" applyFont="1" applyNumberFormat="1">
      <alignment shrinkToFit="0" wrapText="1"/>
    </xf>
    <xf borderId="8" fillId="0" fontId="8" numFmtId="1" xfId="0" applyAlignment="1" applyBorder="1" applyFont="1" applyNumberFormat="1">
      <alignment shrinkToFit="0" wrapText="1"/>
    </xf>
    <xf borderId="18" fillId="0" fontId="4" numFmtId="0" xfId="0" applyAlignment="1" applyBorder="1" applyFont="1">
      <alignment shrinkToFit="0" wrapText="1"/>
    </xf>
    <xf borderId="18" fillId="0" fontId="8" numFmtId="1" xfId="0" applyAlignment="1" applyBorder="1" applyFont="1" applyNumberFormat="1">
      <alignment shrinkToFit="0" wrapText="1"/>
    </xf>
    <xf borderId="19" fillId="0" fontId="4" numFmtId="0" xfId="0" applyAlignment="1" applyBorder="1" applyFont="1">
      <alignment shrinkToFit="0" wrapText="1"/>
    </xf>
    <xf borderId="9" fillId="0" fontId="4" numFmtId="4" xfId="0" applyAlignment="1" applyBorder="1" applyFont="1" applyNumberFormat="1">
      <alignment shrinkToFit="0" wrapText="1"/>
    </xf>
    <xf borderId="7" fillId="0" fontId="5" numFmtId="0" xfId="0" applyAlignment="1" applyBorder="1" applyFont="1">
      <alignment shrinkToFit="0" wrapText="1"/>
    </xf>
    <xf borderId="8" fillId="0" fontId="5" numFmtId="4" xfId="0" applyAlignment="1" applyBorder="1" applyFont="1" applyNumberFormat="1">
      <alignment shrinkToFit="0" wrapText="1"/>
    </xf>
    <xf borderId="9" fillId="0" fontId="5" numFmtId="4" xfId="0" applyAlignment="1" applyBorder="1" applyFont="1" applyNumberFormat="1">
      <alignment shrinkToFit="0" wrapText="1"/>
    </xf>
    <xf borderId="8" fillId="4" fontId="5" numFmtId="4" xfId="0" applyAlignment="1" applyBorder="1" applyFont="1" applyNumberFormat="1">
      <alignment shrinkToFit="0" wrapText="1"/>
    </xf>
    <xf borderId="9" fillId="4" fontId="5" numFmtId="4" xfId="0" applyAlignment="1" applyBorder="1" applyFont="1" applyNumberFormat="1">
      <alignment shrinkToFit="0" wrapText="1"/>
    </xf>
    <xf borderId="11" fillId="0" fontId="5" numFmtId="0" xfId="0" applyAlignment="1" applyBorder="1" applyFont="1">
      <alignment shrinkToFit="0" wrapText="1"/>
    </xf>
    <xf borderId="18" fillId="0" fontId="5" numFmtId="4" xfId="0" applyAlignment="1" applyBorder="1" applyFont="1" applyNumberFormat="1">
      <alignment shrinkToFit="0" wrapText="1"/>
    </xf>
    <xf borderId="19" fillId="0" fontId="5" numFmtId="4" xfId="0" applyAlignment="1" applyBorder="1" applyFont="1" applyNumberFormat="1">
      <alignment shrinkToFit="0" wrapText="1"/>
    </xf>
    <xf borderId="15" fillId="2" fontId="10" numFmtId="0" xfId="0" applyAlignment="1" applyBorder="1" applyFont="1">
      <alignment shrinkToFit="0" wrapText="1"/>
    </xf>
    <xf borderId="16" fillId="2" fontId="10" numFmtId="0" xfId="0" applyAlignment="1" applyBorder="1" applyFont="1">
      <alignment shrinkToFit="0" wrapText="1"/>
    </xf>
    <xf borderId="17" fillId="2" fontId="10" numFmtId="0" xfId="0" applyAlignment="1" applyBorder="1" applyFont="1">
      <alignment shrinkToFit="0" wrapText="1"/>
    </xf>
    <xf borderId="8" fillId="0" fontId="4" numFmtId="166" xfId="0" applyAlignment="1" applyBorder="1" applyFont="1" applyNumberFormat="1">
      <alignment shrinkToFit="0" wrapText="1"/>
    </xf>
    <xf borderId="8" fillId="0" fontId="4" numFmtId="167" xfId="0" applyAlignment="1" applyBorder="1" applyFont="1" applyNumberFormat="1">
      <alignment shrinkToFit="0" wrapText="1"/>
    </xf>
    <xf borderId="9" fillId="0" fontId="4" numFmtId="164" xfId="0" applyAlignment="1" applyBorder="1" applyFont="1" applyNumberFormat="1">
      <alignment shrinkToFit="0" wrapText="1"/>
    </xf>
    <xf borderId="8" fillId="0" fontId="5" numFmtId="164" xfId="0" applyAlignment="1" applyBorder="1" applyFont="1" applyNumberFormat="1">
      <alignment shrinkToFit="0" wrapText="1"/>
    </xf>
    <xf borderId="9" fillId="0" fontId="5" numFmtId="164" xfId="0" applyAlignment="1" applyBorder="1" applyFont="1" applyNumberFormat="1">
      <alignment shrinkToFit="0" wrapText="1"/>
    </xf>
    <xf borderId="7" fillId="0" fontId="11" numFmtId="0" xfId="0" applyAlignment="1" applyBorder="1" applyFont="1">
      <alignment readingOrder="0" shrinkToFit="0" wrapText="1"/>
    </xf>
    <xf borderId="8" fillId="0" fontId="11" numFmtId="4" xfId="0" applyAlignment="1" applyBorder="1" applyFont="1" applyNumberFormat="1">
      <alignment readingOrder="0" shrinkToFit="0" wrapText="1"/>
    </xf>
    <xf borderId="8" fillId="0" fontId="11" numFmtId="164" xfId="0" applyAlignment="1" applyBorder="1" applyFont="1" applyNumberFormat="1">
      <alignment readingOrder="0" shrinkToFit="0" wrapText="1"/>
    </xf>
    <xf borderId="8" fillId="6" fontId="4" numFmtId="166" xfId="0" applyAlignment="1" applyBorder="1" applyFill="1" applyFont="1" applyNumberFormat="1">
      <alignment shrinkToFit="0" wrapText="1"/>
    </xf>
    <xf borderId="9" fillId="6" fontId="4" numFmtId="164" xfId="0" applyAlignment="1" applyBorder="1" applyFont="1" applyNumberFormat="1">
      <alignment shrinkToFit="0" wrapText="1"/>
    </xf>
    <xf borderId="0" fillId="0" fontId="12" numFmtId="164" xfId="0" applyFont="1" applyNumberFormat="1"/>
    <xf borderId="8" fillId="0" fontId="11" numFmtId="166" xfId="0" applyAlignment="1" applyBorder="1" applyFont="1" applyNumberFormat="1">
      <alignment readingOrder="0" shrinkToFit="0" wrapText="1"/>
    </xf>
    <xf borderId="8" fillId="0" fontId="5" numFmtId="0" xfId="0" applyAlignment="1" applyBorder="1" applyFont="1">
      <alignment shrinkToFit="0" wrapText="1"/>
    </xf>
    <xf borderId="9" fillId="0" fontId="5" numFmtId="165" xfId="0" applyAlignment="1" applyBorder="1" applyFont="1" applyNumberFormat="1">
      <alignment shrinkToFit="0" wrapText="1"/>
    </xf>
    <xf borderId="8" fillId="4" fontId="5" numFmtId="164" xfId="0" applyAlignment="1" applyBorder="1" applyFont="1" applyNumberFormat="1">
      <alignment shrinkToFit="0" wrapText="1"/>
    </xf>
    <xf borderId="9" fillId="4" fontId="5" numFmtId="164" xfId="0" applyAlignment="1" applyBorder="1" applyFont="1" applyNumberFormat="1">
      <alignment shrinkToFit="0" wrapText="1"/>
    </xf>
    <xf borderId="8" fillId="0" fontId="5" numFmtId="165" xfId="0" applyAlignment="1" applyBorder="1" applyFont="1" applyNumberFormat="1">
      <alignment shrinkToFit="0" wrapText="1"/>
    </xf>
    <xf borderId="9" fillId="0" fontId="5" numFmtId="0" xfId="0" applyAlignment="1" applyBorder="1" applyFont="1">
      <alignment shrinkToFit="0" wrapText="1"/>
    </xf>
    <xf borderId="18" fillId="0" fontId="5" numFmtId="165" xfId="0" applyAlignment="1" applyBorder="1" applyFont="1" applyNumberFormat="1">
      <alignment shrinkToFit="0" wrapText="1"/>
    </xf>
    <xf borderId="18" fillId="0" fontId="5" numFmtId="0" xfId="0" applyAlignment="1" applyBorder="1" applyFont="1">
      <alignment shrinkToFit="0" wrapText="1"/>
    </xf>
    <xf borderId="19" fillId="0" fontId="5" numFmtId="0" xfId="0" applyAlignment="1" applyBorder="1" applyFont="1">
      <alignment shrinkToFit="0" wrapText="1"/>
    </xf>
    <xf borderId="8" fillId="0" fontId="4" numFmtId="1" xfId="0" applyAlignment="1" applyBorder="1" applyFont="1" applyNumberFormat="1">
      <alignment shrinkToFit="0" wrapText="1"/>
    </xf>
    <xf borderId="18" fillId="0" fontId="4" numFmtId="164" xfId="0" applyAlignment="1" applyBorder="1" applyFont="1" applyNumberFormat="1">
      <alignment shrinkToFit="0" wrapText="1"/>
    </xf>
    <xf borderId="18" fillId="0" fontId="4" numFmtId="1" xfId="0" applyAlignment="1" applyBorder="1" applyFont="1" applyNumberFormat="1">
      <alignment shrinkToFit="0" wrapText="1"/>
    </xf>
    <xf borderId="18" fillId="0" fontId="4" numFmtId="165" xfId="0" applyAlignment="1" applyBorder="1" applyFont="1" applyNumberFormat="1">
      <alignment shrinkToFit="0" wrapText="1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2" width="20.0"/>
    <col customWidth="1" min="3" max="3" width="16.0"/>
    <col customWidth="1" min="4" max="4" width="64.0"/>
    <col customWidth="1" min="5" max="6" width="18.0"/>
    <col customWidth="1" min="7" max="26" width="8.63"/>
  </cols>
  <sheetData>
    <row r="1" ht="27.75" customHeight="1">
      <c r="A1" s="1" t="s">
        <v>0</v>
      </c>
      <c r="B1" s="2"/>
      <c r="C1" s="2"/>
      <c r="D1" s="2"/>
      <c r="E1" s="2"/>
      <c r="F1" s="3"/>
    </row>
    <row r="2" ht="19.5" customHeight="1">
      <c r="A2" s="4" t="s">
        <v>1</v>
      </c>
      <c r="B2" s="5"/>
      <c r="C2" s="5"/>
      <c r="D2" s="5"/>
      <c r="E2" s="5"/>
      <c r="F2" s="6"/>
    </row>
    <row r="3">
      <c r="A3" s="7"/>
      <c r="B3" s="8"/>
      <c r="C3" s="8"/>
      <c r="D3" s="8"/>
      <c r="E3" s="8"/>
      <c r="F3" s="9"/>
    </row>
    <row r="4">
      <c r="A4" s="10" t="s">
        <v>2</v>
      </c>
      <c r="B4" s="11" t="s">
        <v>3</v>
      </c>
      <c r="C4" s="11" t="s">
        <v>4</v>
      </c>
      <c r="D4" s="11" t="s">
        <v>5</v>
      </c>
      <c r="E4" s="11"/>
      <c r="F4" s="12"/>
    </row>
    <row r="5">
      <c r="A5" s="7" t="s">
        <v>6</v>
      </c>
      <c r="B5" s="13">
        <f>Prefactibilidad!D8</f>
        <v>2440954.5</v>
      </c>
      <c r="C5" s="8" t="s">
        <v>7</v>
      </c>
      <c r="D5" s="8" t="s">
        <v>8</v>
      </c>
      <c r="E5" s="8"/>
      <c r="F5" s="9"/>
    </row>
    <row r="6">
      <c r="A6" s="7" t="s">
        <v>9</v>
      </c>
      <c r="B6" s="13">
        <f>Prefactibilidad!D45</f>
        <v>2378064.202</v>
      </c>
      <c r="C6" s="8" t="s">
        <v>7</v>
      </c>
      <c r="D6" s="8" t="s">
        <v>10</v>
      </c>
      <c r="E6" s="8"/>
      <c r="F6" s="9"/>
    </row>
    <row r="7">
      <c r="A7" s="7" t="s">
        <v>11</v>
      </c>
      <c r="B7" s="13">
        <f>Prefactibilidad!D46</f>
        <v>62890.29759</v>
      </c>
      <c r="C7" s="8" t="s">
        <v>7</v>
      </c>
      <c r="D7" s="8" t="s">
        <v>12</v>
      </c>
      <c r="E7" s="8"/>
      <c r="F7" s="9"/>
    </row>
    <row r="8">
      <c r="A8" s="7" t="s">
        <v>13</v>
      </c>
      <c r="B8" s="14">
        <f>Prefactibilidad!D47</f>
        <v>0.02644600492</v>
      </c>
      <c r="C8" s="8" t="s">
        <v>14</v>
      </c>
      <c r="D8" s="8" t="s">
        <v>15</v>
      </c>
      <c r="E8" s="8"/>
      <c r="F8" s="9"/>
    </row>
    <row r="9">
      <c r="A9" s="7" t="s">
        <v>16</v>
      </c>
      <c r="B9" s="13">
        <f>'Flujo Anual'!B26</f>
        <v>774780.5202</v>
      </c>
      <c r="C9" s="8" t="s">
        <v>7</v>
      </c>
      <c r="D9" s="8" t="s">
        <v>17</v>
      </c>
      <c r="E9" s="8"/>
      <c r="F9" s="9"/>
    </row>
    <row r="10">
      <c r="A10" s="7" t="s">
        <v>18</v>
      </c>
      <c r="B10" s="13">
        <f>'Flujo Anual'!B29</f>
        <v>-157462.1828</v>
      </c>
      <c r="C10" s="8" t="s">
        <v>7</v>
      </c>
      <c r="D10" s="8" t="s">
        <v>19</v>
      </c>
      <c r="E10" s="8"/>
      <c r="F10" s="9"/>
    </row>
    <row r="11">
      <c r="A11" s="7" t="s">
        <v>20</v>
      </c>
      <c r="B11" s="14">
        <f>'Flujo Anual'!B30</f>
        <v>0.02720894403</v>
      </c>
      <c r="C11" s="8" t="s">
        <v>14</v>
      </c>
      <c r="D11" s="8" t="s">
        <v>21</v>
      </c>
      <c r="E11" s="8"/>
      <c r="F11" s="9"/>
    </row>
    <row r="12">
      <c r="A12" s="7"/>
      <c r="B12" s="8"/>
      <c r="C12" s="8"/>
      <c r="D12" s="8"/>
      <c r="E12" s="8"/>
      <c r="F12" s="9"/>
    </row>
    <row r="13">
      <c r="A13" s="15" t="s">
        <v>22</v>
      </c>
      <c r="B13" s="16" t="s">
        <v>3</v>
      </c>
      <c r="C13" s="16" t="s">
        <v>4</v>
      </c>
      <c r="D13" s="16" t="s">
        <v>23</v>
      </c>
      <c r="E13" s="16"/>
      <c r="F13" s="17"/>
    </row>
    <row r="14">
      <c r="A14" s="7" t="s">
        <v>24</v>
      </c>
      <c r="B14" s="13">
        <f>Inputs!$C$7</f>
        <v>370000</v>
      </c>
      <c r="C14" s="8" t="s">
        <v>7</v>
      </c>
      <c r="D14" s="8" t="s">
        <v>25</v>
      </c>
      <c r="E14" s="8"/>
      <c r="F14" s="9"/>
    </row>
    <row r="15">
      <c r="A15" s="7" t="s">
        <v>26</v>
      </c>
      <c r="B15" s="18">
        <f>Inputs!$C$18</f>
        <v>786</v>
      </c>
      <c r="C15" s="8" t="s">
        <v>27</v>
      </c>
      <c r="D15" s="8" t="s">
        <v>28</v>
      </c>
      <c r="E15" s="8"/>
      <c r="F15" s="9"/>
    </row>
    <row r="16">
      <c r="A16" s="7" t="s">
        <v>29</v>
      </c>
      <c r="B16" s="13">
        <f>Inputs!$C$30</f>
        <v>2900</v>
      </c>
      <c r="C16" s="8" t="s">
        <v>30</v>
      </c>
      <c r="D16" s="8" t="s">
        <v>25</v>
      </c>
      <c r="E16" s="8"/>
      <c r="F16" s="9"/>
    </row>
    <row r="17">
      <c r="A17" s="7" t="s">
        <v>31</v>
      </c>
      <c r="B17" s="13">
        <f>Inputs!$C$35</f>
        <v>1200</v>
      </c>
      <c r="C17" s="8" t="s">
        <v>30</v>
      </c>
      <c r="D17" s="8" t="s">
        <v>25</v>
      </c>
      <c r="E17" s="8"/>
      <c r="F17" s="9"/>
    </row>
    <row r="18">
      <c r="A18" s="7" t="s">
        <v>32</v>
      </c>
      <c r="B18" s="18">
        <f>Inputs!$C$29</f>
        <v>6</v>
      </c>
      <c r="C18" s="8" t="s">
        <v>33</v>
      </c>
      <c r="D18" s="8" t="s">
        <v>28</v>
      </c>
      <c r="E18" s="8"/>
      <c r="F18" s="9"/>
    </row>
    <row r="19">
      <c r="A19" s="7"/>
      <c r="B19" s="8"/>
      <c r="C19" s="8"/>
      <c r="D19" s="8"/>
      <c r="E19" s="8"/>
      <c r="F19" s="9"/>
    </row>
    <row r="20">
      <c r="A20" s="15" t="s">
        <v>34</v>
      </c>
      <c r="B20" s="16"/>
      <c r="C20" s="16"/>
      <c r="D20" s="16"/>
      <c r="E20" s="16"/>
      <c r="F20" s="17"/>
    </row>
    <row r="21" ht="24.0" customHeight="1">
      <c r="A21" s="7" t="s">
        <v>35</v>
      </c>
      <c r="B21" s="19" t="s">
        <v>36</v>
      </c>
      <c r="C21" s="5"/>
      <c r="D21" s="5"/>
      <c r="E21" s="5"/>
      <c r="F21" s="6"/>
    </row>
    <row r="22" ht="24.0" customHeight="1">
      <c r="A22" s="7" t="s">
        <v>37</v>
      </c>
      <c r="B22" s="19" t="s">
        <v>38</v>
      </c>
      <c r="C22" s="5"/>
      <c r="D22" s="5"/>
      <c r="E22" s="5"/>
      <c r="F22" s="6"/>
    </row>
    <row r="23" ht="24.0" customHeight="1">
      <c r="A23" s="7" t="s">
        <v>39</v>
      </c>
      <c r="B23" s="19" t="s">
        <v>40</v>
      </c>
      <c r="C23" s="5"/>
      <c r="D23" s="5"/>
      <c r="E23" s="5"/>
      <c r="F23" s="6"/>
    </row>
    <row r="24" ht="24.0" customHeight="1">
      <c r="A24" s="20" t="s">
        <v>41</v>
      </c>
      <c r="B24" s="21" t="s">
        <v>42</v>
      </c>
      <c r="C24" s="22"/>
      <c r="D24" s="22"/>
      <c r="E24" s="22"/>
      <c r="F24" s="23"/>
    </row>
    <row r="25" ht="15.75" customHeight="1"/>
    <row r="26" ht="15.75" customHeight="1">
      <c r="A26" s="24" t="s">
        <v>43</v>
      </c>
      <c r="B26" s="25" t="s">
        <v>44</v>
      </c>
      <c r="C26" s="25" t="s">
        <v>45</v>
      </c>
      <c r="D26" s="25" t="s">
        <v>46</v>
      </c>
      <c r="E26" s="25" t="s">
        <v>47</v>
      </c>
      <c r="F26" s="26" t="s">
        <v>48</v>
      </c>
    </row>
    <row r="27" ht="15.75" customHeight="1">
      <c r="A27" s="27" t="s">
        <v>49</v>
      </c>
      <c r="B27" s="28">
        <f>'Flujo Anual'!C21</f>
        <v>-331921.5176</v>
      </c>
      <c r="C27" s="28">
        <f>'Flujo Anual'!D21</f>
        <v>-164919.0149</v>
      </c>
      <c r="D27" s="28">
        <f>'Flujo Anual'!E21</f>
        <v>-277939.9878</v>
      </c>
      <c r="E27" s="28">
        <f>'Flujo Anual'!F21</f>
        <v>143263.2116</v>
      </c>
      <c r="F27" s="29">
        <f>'Flujo Anual'!G21</f>
        <v>694407.6062</v>
      </c>
    </row>
    <row r="28" ht="15.75" customHeight="1">
      <c r="A28" s="30" t="s">
        <v>50</v>
      </c>
      <c r="B28" s="31">
        <f>'Flujo Anual'!C22</f>
        <v>-331921.5176</v>
      </c>
      <c r="C28" s="31">
        <f>'Flujo Anual'!D22</f>
        <v>-496840.5324</v>
      </c>
      <c r="D28" s="31">
        <f>'Flujo Anual'!E22</f>
        <v>-774780.5202</v>
      </c>
      <c r="E28" s="31">
        <f>'Flujo Anual'!F22</f>
        <v>-631517.3086</v>
      </c>
      <c r="F28" s="32">
        <f>'Flujo Anual'!G22</f>
        <v>62890.29759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F1"/>
    <mergeCell ref="A2:F2"/>
    <mergeCell ref="B21:F21"/>
    <mergeCell ref="B22:F22"/>
    <mergeCell ref="B23:F23"/>
    <mergeCell ref="B24:F2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34.0"/>
    <col customWidth="1" min="3" max="3" width="14.0"/>
    <col customWidth="1" min="4" max="4" width="18.0"/>
    <col customWidth="1" min="5" max="5" width="32.0"/>
    <col customWidth="1" min="6" max="6" width="48.0"/>
    <col customWidth="1" min="7" max="26" width="8.63"/>
  </cols>
  <sheetData>
    <row r="1">
      <c r="A1" s="33" t="s">
        <v>51</v>
      </c>
      <c r="B1" s="34" t="s">
        <v>52</v>
      </c>
      <c r="C1" s="34" t="s">
        <v>3</v>
      </c>
      <c r="D1" s="34" t="s">
        <v>4</v>
      </c>
      <c r="E1" s="34" t="s">
        <v>23</v>
      </c>
      <c r="F1" s="35" t="s">
        <v>53</v>
      </c>
    </row>
    <row r="2">
      <c r="A2" s="7" t="s">
        <v>54</v>
      </c>
      <c r="B2" s="8" t="s">
        <v>55</v>
      </c>
      <c r="C2" s="36" t="s">
        <v>56</v>
      </c>
      <c r="D2" s="8"/>
      <c r="E2" s="8" t="s">
        <v>25</v>
      </c>
      <c r="F2" s="9"/>
    </row>
    <row r="3">
      <c r="A3" s="7" t="s">
        <v>54</v>
      </c>
      <c r="B3" s="8" t="s">
        <v>57</v>
      </c>
      <c r="C3" s="36" t="s">
        <v>58</v>
      </c>
      <c r="D3" s="8"/>
      <c r="E3" s="8" t="s">
        <v>59</v>
      </c>
      <c r="F3" s="9"/>
    </row>
    <row r="4">
      <c r="A4" s="7" t="s">
        <v>54</v>
      </c>
      <c r="B4" s="8" t="s">
        <v>60</v>
      </c>
      <c r="C4" s="36" t="s">
        <v>61</v>
      </c>
      <c r="D4" s="8"/>
      <c r="E4" s="8" t="s">
        <v>25</v>
      </c>
      <c r="F4" s="9" t="s">
        <v>62</v>
      </c>
    </row>
    <row r="5">
      <c r="A5" s="7" t="s">
        <v>54</v>
      </c>
      <c r="B5" s="8" t="s">
        <v>63</v>
      </c>
      <c r="C5" s="36" t="s">
        <v>64</v>
      </c>
      <c r="D5" s="8"/>
      <c r="E5" s="8" t="s">
        <v>25</v>
      </c>
      <c r="F5" s="9"/>
    </row>
    <row r="6">
      <c r="A6" s="7" t="s">
        <v>24</v>
      </c>
      <c r="B6" s="8" t="s">
        <v>65</v>
      </c>
      <c r="C6" s="36">
        <v>368.0</v>
      </c>
      <c r="D6" s="8" t="s">
        <v>27</v>
      </c>
      <c r="E6" s="8" t="s">
        <v>25</v>
      </c>
      <c r="F6" s="9"/>
    </row>
    <row r="7">
      <c r="A7" s="7" t="s">
        <v>24</v>
      </c>
      <c r="B7" s="8" t="s">
        <v>66</v>
      </c>
      <c r="C7" s="37">
        <v>370000.0</v>
      </c>
      <c r="D7" s="8" t="s">
        <v>7</v>
      </c>
      <c r="E7" s="8" t="s">
        <v>25</v>
      </c>
      <c r="F7" s="9" t="s">
        <v>67</v>
      </c>
    </row>
    <row r="8">
      <c r="A8" s="7" t="s">
        <v>24</v>
      </c>
      <c r="B8" s="8" t="s">
        <v>68</v>
      </c>
      <c r="C8" s="37">
        <v>370000.0</v>
      </c>
      <c r="D8" s="8" t="s">
        <v>7</v>
      </c>
      <c r="E8" s="8" t="s">
        <v>25</v>
      </c>
      <c r="F8" s="9" t="s">
        <v>69</v>
      </c>
    </row>
    <row r="9">
      <c r="A9" s="7" t="s">
        <v>24</v>
      </c>
      <c r="B9" s="8" t="s">
        <v>70</v>
      </c>
      <c r="C9" s="36">
        <v>0.0</v>
      </c>
      <c r="D9" s="8" t="s">
        <v>27</v>
      </c>
      <c r="E9" s="8" t="s">
        <v>71</v>
      </c>
      <c r="F9" s="9" t="s">
        <v>72</v>
      </c>
    </row>
    <row r="10">
      <c r="A10" s="7" t="s">
        <v>24</v>
      </c>
      <c r="B10" s="8" t="s">
        <v>73</v>
      </c>
      <c r="C10" s="36">
        <v>0.0</v>
      </c>
      <c r="D10" s="8" t="s">
        <v>74</v>
      </c>
      <c r="E10" s="8" t="s">
        <v>71</v>
      </c>
      <c r="F10" s="9" t="s">
        <v>69</v>
      </c>
    </row>
    <row r="11">
      <c r="A11" s="7" t="s">
        <v>24</v>
      </c>
      <c r="B11" s="8" t="s">
        <v>75</v>
      </c>
      <c r="C11" s="38">
        <v>0.0</v>
      </c>
      <c r="D11" s="8" t="s">
        <v>14</v>
      </c>
      <c r="E11" s="8" t="s">
        <v>25</v>
      </c>
      <c r="F11" s="9"/>
    </row>
    <row r="12">
      <c r="A12" s="7" t="s">
        <v>24</v>
      </c>
      <c r="B12" s="8" t="s">
        <v>76</v>
      </c>
      <c r="C12" s="38">
        <v>0.03</v>
      </c>
      <c r="D12" s="8" t="s">
        <v>14</v>
      </c>
      <c r="E12" s="8" t="s">
        <v>25</v>
      </c>
      <c r="F12" s="9" t="s">
        <v>77</v>
      </c>
    </row>
    <row r="13">
      <c r="A13" s="7" t="s">
        <v>24</v>
      </c>
      <c r="B13" s="8" t="s">
        <v>78</v>
      </c>
      <c r="C13" s="38">
        <v>0.0</v>
      </c>
      <c r="D13" s="8" t="s">
        <v>14</v>
      </c>
      <c r="E13" s="8" t="s">
        <v>25</v>
      </c>
      <c r="F13" s="9"/>
    </row>
    <row r="14">
      <c r="A14" s="7" t="s">
        <v>24</v>
      </c>
      <c r="B14" s="8" t="s">
        <v>79</v>
      </c>
      <c r="C14" s="38">
        <v>0.0</v>
      </c>
      <c r="D14" s="8" t="s">
        <v>14</v>
      </c>
      <c r="E14" s="8" t="s">
        <v>25</v>
      </c>
      <c r="F14" s="9"/>
    </row>
    <row r="15">
      <c r="A15" s="7" t="s">
        <v>80</v>
      </c>
      <c r="B15" s="8" t="s">
        <v>81</v>
      </c>
      <c r="C15" s="39">
        <v>655.66</v>
      </c>
      <c r="D15" s="8" t="s">
        <v>27</v>
      </c>
      <c r="E15" s="8" t="s">
        <v>82</v>
      </c>
      <c r="F15" s="9"/>
    </row>
    <row r="16">
      <c r="A16" s="7" t="s">
        <v>80</v>
      </c>
      <c r="B16" s="8" t="s">
        <v>83</v>
      </c>
      <c r="C16" s="39">
        <v>111.07</v>
      </c>
      <c r="D16" s="8" t="s">
        <v>27</v>
      </c>
      <c r="E16" s="8" t="s">
        <v>82</v>
      </c>
      <c r="F16" s="9"/>
    </row>
    <row r="17">
      <c r="A17" s="7" t="s">
        <v>80</v>
      </c>
      <c r="B17" s="8" t="s">
        <v>84</v>
      </c>
      <c r="C17" s="39">
        <v>60.84</v>
      </c>
      <c r="D17" s="8" t="s">
        <v>27</v>
      </c>
      <c r="E17" s="8" t="s">
        <v>82</v>
      </c>
      <c r="F17" s="9"/>
    </row>
    <row r="18">
      <c r="A18" s="7" t="s">
        <v>80</v>
      </c>
      <c r="B18" s="8" t="s">
        <v>26</v>
      </c>
      <c r="C18" s="40">
        <v>786.0</v>
      </c>
      <c r="D18" s="8" t="s">
        <v>27</v>
      </c>
      <c r="E18" s="8" t="s">
        <v>82</v>
      </c>
      <c r="F18" s="9"/>
    </row>
    <row r="19">
      <c r="A19" s="7" t="s">
        <v>80</v>
      </c>
      <c r="B19" s="8" t="s">
        <v>85</v>
      </c>
      <c r="C19" s="39">
        <v>319.19</v>
      </c>
      <c r="D19" s="8" t="s">
        <v>27</v>
      </c>
      <c r="E19" s="8" t="s">
        <v>82</v>
      </c>
      <c r="F19" s="9"/>
    </row>
    <row r="20">
      <c r="A20" s="7" t="s">
        <v>80</v>
      </c>
      <c r="B20" s="8" t="s">
        <v>86</v>
      </c>
      <c r="C20" s="39">
        <v>3.42</v>
      </c>
      <c r="D20" s="8" t="s">
        <v>27</v>
      </c>
      <c r="E20" s="8" t="s">
        <v>82</v>
      </c>
      <c r="F20" s="9"/>
    </row>
    <row r="21" ht="15.75" customHeight="1">
      <c r="A21" s="7" t="s">
        <v>80</v>
      </c>
      <c r="B21" s="8" t="s">
        <v>87</v>
      </c>
      <c r="C21" s="39">
        <v>67.42</v>
      </c>
      <c r="D21" s="8" t="s">
        <v>27</v>
      </c>
      <c r="E21" s="8" t="s">
        <v>82</v>
      </c>
      <c r="F21" s="9"/>
    </row>
    <row r="22" ht="15.75" customHeight="1">
      <c r="A22" s="7" t="s">
        <v>80</v>
      </c>
      <c r="B22" s="8" t="s">
        <v>88</v>
      </c>
      <c r="C22" s="39">
        <v>390.03</v>
      </c>
      <c r="D22" s="8" t="s">
        <v>27</v>
      </c>
      <c r="E22" s="8" t="s">
        <v>82</v>
      </c>
      <c r="F22" s="9"/>
    </row>
    <row r="23" ht="15.75" customHeight="1">
      <c r="A23" s="7" t="s">
        <v>80</v>
      </c>
      <c r="B23" s="8" t="s">
        <v>89</v>
      </c>
      <c r="C23" s="39">
        <v>974.85</v>
      </c>
      <c r="D23" s="8" t="s">
        <v>27</v>
      </c>
      <c r="E23" s="8" t="s">
        <v>82</v>
      </c>
      <c r="F23" s="9"/>
    </row>
    <row r="24" ht="15.75" customHeight="1">
      <c r="A24" s="7" t="s">
        <v>80</v>
      </c>
      <c r="B24" s="8" t="s">
        <v>90</v>
      </c>
      <c r="C24" s="39">
        <v>1217.6</v>
      </c>
      <c r="D24" s="8" t="s">
        <v>27</v>
      </c>
      <c r="E24" s="8" t="s">
        <v>82</v>
      </c>
      <c r="F24" s="9"/>
    </row>
    <row r="25" ht="15.75" customHeight="1">
      <c r="A25" s="7" t="s">
        <v>80</v>
      </c>
      <c r="B25" s="8" t="s">
        <v>91</v>
      </c>
      <c r="C25" s="39">
        <v>68.43</v>
      </c>
      <c r="D25" s="8" t="s">
        <v>27</v>
      </c>
      <c r="E25" s="8" t="s">
        <v>82</v>
      </c>
      <c r="F25" s="9"/>
    </row>
    <row r="26" ht="15.75" customHeight="1">
      <c r="A26" s="7" t="s">
        <v>80</v>
      </c>
      <c r="B26" s="8" t="s">
        <v>92</v>
      </c>
      <c r="C26" s="39">
        <v>3.42</v>
      </c>
      <c r="D26" s="8" t="s">
        <v>27</v>
      </c>
      <c r="E26" s="8" t="s">
        <v>82</v>
      </c>
      <c r="F26" s="9"/>
    </row>
    <row r="27" ht="15.75" customHeight="1">
      <c r="A27" s="7" t="s">
        <v>80</v>
      </c>
      <c r="B27" s="8" t="s">
        <v>93</v>
      </c>
      <c r="C27" s="39">
        <v>168.55</v>
      </c>
      <c r="D27" s="8" t="s">
        <v>27</v>
      </c>
      <c r="E27" s="8" t="s">
        <v>82</v>
      </c>
      <c r="F27" s="9"/>
    </row>
    <row r="28" ht="15.75" customHeight="1">
      <c r="A28" s="7" t="s">
        <v>94</v>
      </c>
      <c r="B28" s="8" t="s">
        <v>95</v>
      </c>
      <c r="C28" s="39">
        <v>12.0</v>
      </c>
      <c r="D28" s="8" t="s">
        <v>33</v>
      </c>
      <c r="E28" s="8" t="s">
        <v>96</v>
      </c>
      <c r="F28" s="9" t="s">
        <v>97</v>
      </c>
    </row>
    <row r="29" ht="15.75" customHeight="1">
      <c r="A29" s="7" t="s">
        <v>94</v>
      </c>
      <c r="B29" s="8" t="s">
        <v>98</v>
      </c>
      <c r="C29" s="39">
        <v>6.0</v>
      </c>
      <c r="D29" s="8" t="s">
        <v>74</v>
      </c>
      <c r="E29" s="8" t="s">
        <v>82</v>
      </c>
      <c r="F29" s="9"/>
    </row>
    <row r="30" ht="15.75" customHeight="1">
      <c r="A30" s="7" t="s">
        <v>99</v>
      </c>
      <c r="B30" s="8" t="s">
        <v>29</v>
      </c>
      <c r="C30" s="41">
        <v>2900.0</v>
      </c>
      <c r="D30" s="8" t="s">
        <v>30</v>
      </c>
      <c r="E30" s="8" t="s">
        <v>25</v>
      </c>
      <c r="F30" s="9"/>
    </row>
    <row r="31" ht="15.75" customHeight="1">
      <c r="A31" s="7" t="s">
        <v>99</v>
      </c>
      <c r="B31" s="8" t="s">
        <v>100</v>
      </c>
      <c r="C31" s="37">
        <v>30000.0</v>
      </c>
      <c r="D31" s="8" t="s">
        <v>101</v>
      </c>
      <c r="E31" s="8" t="s">
        <v>25</v>
      </c>
      <c r="F31" s="9"/>
    </row>
    <row r="32" ht="15.75" customHeight="1">
      <c r="A32" s="42" t="s">
        <v>99</v>
      </c>
      <c r="B32" s="43" t="s">
        <v>102</v>
      </c>
      <c r="C32" s="44">
        <v>-0.15</v>
      </c>
      <c r="D32" s="43" t="s">
        <v>14</v>
      </c>
      <c r="E32" s="43" t="s">
        <v>103</v>
      </c>
      <c r="F32" s="45" t="s">
        <v>104</v>
      </c>
    </row>
    <row r="33" ht="15.75" customHeight="1">
      <c r="A33" s="42" t="s">
        <v>99</v>
      </c>
      <c r="B33" s="43" t="s">
        <v>105</v>
      </c>
      <c r="C33" s="44">
        <v>0.0</v>
      </c>
      <c r="D33" s="43" t="s">
        <v>14</v>
      </c>
      <c r="E33" s="43" t="s">
        <v>103</v>
      </c>
      <c r="F33" s="45" t="s">
        <v>106</v>
      </c>
    </row>
    <row r="34" ht="15.75" customHeight="1">
      <c r="A34" s="42" t="s">
        <v>99</v>
      </c>
      <c r="B34" s="43" t="s">
        <v>107</v>
      </c>
      <c r="C34" s="46">
        <v>0.15</v>
      </c>
      <c r="D34" s="43" t="s">
        <v>14</v>
      </c>
      <c r="E34" s="43" t="s">
        <v>103</v>
      </c>
      <c r="F34" s="45" t="s">
        <v>108</v>
      </c>
    </row>
    <row r="35" ht="15.75" customHeight="1">
      <c r="A35" s="7" t="s">
        <v>109</v>
      </c>
      <c r="B35" s="8" t="s">
        <v>110</v>
      </c>
      <c r="C35" s="47">
        <v>1200.0</v>
      </c>
      <c r="D35" s="8" t="s">
        <v>30</v>
      </c>
      <c r="E35" s="8" t="s">
        <v>25</v>
      </c>
      <c r="F35" s="9"/>
    </row>
    <row r="36" ht="15.75" customHeight="1">
      <c r="A36" s="42" t="s">
        <v>109</v>
      </c>
      <c r="B36" s="43" t="s">
        <v>111</v>
      </c>
      <c r="C36" s="48">
        <v>500.0</v>
      </c>
      <c r="D36" s="43" t="s">
        <v>30</v>
      </c>
      <c r="E36" s="43" t="s">
        <v>112</v>
      </c>
      <c r="F36" s="45" t="s">
        <v>113</v>
      </c>
    </row>
    <row r="37" ht="15.75" customHeight="1">
      <c r="A37" s="42" t="s">
        <v>109</v>
      </c>
      <c r="B37" s="43" t="s">
        <v>114</v>
      </c>
      <c r="C37" s="48">
        <v>500.0</v>
      </c>
      <c r="D37" s="43" t="s">
        <v>30</v>
      </c>
      <c r="E37" s="43" t="s">
        <v>112</v>
      </c>
      <c r="F37" s="45" t="s">
        <v>115</v>
      </c>
    </row>
    <row r="38" ht="15.75" customHeight="1">
      <c r="A38" s="42" t="s">
        <v>109</v>
      </c>
      <c r="B38" s="43" t="s">
        <v>116</v>
      </c>
      <c r="C38" s="49">
        <v>0.08</v>
      </c>
      <c r="D38" s="43" t="s">
        <v>14</v>
      </c>
      <c r="E38" s="43" t="s">
        <v>117</v>
      </c>
      <c r="F38" s="45" t="s">
        <v>118</v>
      </c>
    </row>
    <row r="39" ht="15.75" customHeight="1">
      <c r="A39" s="42" t="s">
        <v>119</v>
      </c>
      <c r="B39" s="43" t="s">
        <v>54</v>
      </c>
      <c r="C39" s="50">
        <v>0.014</v>
      </c>
      <c r="D39" s="43" t="s">
        <v>120</v>
      </c>
      <c r="E39" s="43" t="s">
        <v>121</v>
      </c>
      <c r="F39" s="45"/>
    </row>
    <row r="40" ht="15.75" customHeight="1">
      <c r="A40" s="42" t="s">
        <v>119</v>
      </c>
      <c r="B40" s="43" t="s">
        <v>122</v>
      </c>
      <c r="C40" s="49">
        <v>0.03</v>
      </c>
      <c r="D40" s="43" t="s">
        <v>120</v>
      </c>
      <c r="E40" s="43" t="s">
        <v>121</v>
      </c>
      <c r="F40" s="45"/>
    </row>
    <row r="41" ht="15.75" customHeight="1">
      <c r="A41" s="42" t="s">
        <v>119</v>
      </c>
      <c r="B41" s="43" t="s">
        <v>123</v>
      </c>
      <c r="C41" s="49">
        <v>0.02</v>
      </c>
      <c r="D41" s="43" t="s">
        <v>120</v>
      </c>
      <c r="E41" s="43" t="s">
        <v>121</v>
      </c>
      <c r="F41" s="45"/>
    </row>
    <row r="42" ht="15.75" customHeight="1">
      <c r="A42" s="42" t="s">
        <v>119</v>
      </c>
      <c r="B42" s="43" t="s">
        <v>124</v>
      </c>
      <c r="C42" s="49">
        <v>0.015</v>
      </c>
      <c r="D42" s="43" t="s">
        <v>120</v>
      </c>
      <c r="E42" s="43" t="s">
        <v>121</v>
      </c>
      <c r="F42" s="45"/>
    </row>
    <row r="43" ht="15.75" customHeight="1">
      <c r="A43" s="42" t="s">
        <v>119</v>
      </c>
      <c r="B43" s="43" t="s">
        <v>125</v>
      </c>
      <c r="C43" s="49">
        <v>0.015</v>
      </c>
      <c r="D43" s="43" t="s">
        <v>120</v>
      </c>
      <c r="E43" s="43" t="s">
        <v>121</v>
      </c>
      <c r="F43" s="45"/>
    </row>
    <row r="44" ht="15.75" customHeight="1">
      <c r="A44" s="42" t="s">
        <v>119</v>
      </c>
      <c r="B44" s="43" t="s">
        <v>126</v>
      </c>
      <c r="C44" s="49">
        <v>0.04</v>
      </c>
      <c r="D44" s="43" t="s">
        <v>120</v>
      </c>
      <c r="E44" s="43" t="s">
        <v>121</v>
      </c>
      <c r="F44" s="45"/>
    </row>
    <row r="45" ht="15.75" customHeight="1">
      <c r="A45" s="42" t="s">
        <v>119</v>
      </c>
      <c r="B45" s="43" t="s">
        <v>127</v>
      </c>
      <c r="C45" s="51">
        <v>25.0</v>
      </c>
      <c r="D45" s="43" t="s">
        <v>128</v>
      </c>
      <c r="E45" s="43" t="s">
        <v>129</v>
      </c>
      <c r="F45" s="45" t="s">
        <v>130</v>
      </c>
    </row>
    <row r="46" ht="15.75" customHeight="1">
      <c r="A46" s="42" t="s">
        <v>119</v>
      </c>
      <c r="B46" s="43" t="s">
        <v>131</v>
      </c>
      <c r="C46" s="49">
        <v>0.015</v>
      </c>
      <c r="D46" s="43" t="s">
        <v>132</v>
      </c>
      <c r="E46" s="43" t="s">
        <v>121</v>
      </c>
      <c r="F46" s="45"/>
    </row>
    <row r="47" ht="15.75" customHeight="1">
      <c r="A47" s="42" t="s">
        <v>133</v>
      </c>
      <c r="B47" s="43" t="s">
        <v>134</v>
      </c>
      <c r="C47" s="49">
        <v>0.12</v>
      </c>
      <c r="D47" s="43" t="s">
        <v>14</v>
      </c>
      <c r="E47" s="43" t="s">
        <v>121</v>
      </c>
      <c r="F47" s="45"/>
    </row>
    <row r="48" ht="15.75" customHeight="1">
      <c r="A48" s="42" t="s">
        <v>133</v>
      </c>
      <c r="B48" s="43" t="s">
        <v>135</v>
      </c>
      <c r="C48" s="49">
        <v>0.105</v>
      </c>
      <c r="D48" s="43" t="s">
        <v>14</v>
      </c>
      <c r="E48" s="43" t="s">
        <v>121</v>
      </c>
      <c r="F48" s="45"/>
    </row>
    <row r="49" ht="15.75" customHeight="1">
      <c r="A49" s="42" t="s">
        <v>133</v>
      </c>
      <c r="B49" s="43" t="s">
        <v>136</v>
      </c>
      <c r="C49" s="49">
        <v>0.02</v>
      </c>
      <c r="D49" s="43" t="s">
        <v>132</v>
      </c>
      <c r="E49" s="43" t="s">
        <v>121</v>
      </c>
      <c r="F49" s="45"/>
    </row>
    <row r="50" ht="15.75" customHeight="1">
      <c r="A50" s="42" t="s">
        <v>133</v>
      </c>
      <c r="B50" s="43" t="s">
        <v>137</v>
      </c>
      <c r="C50" s="49">
        <v>0.077</v>
      </c>
      <c r="D50" s="43" t="s">
        <v>132</v>
      </c>
      <c r="E50" s="43" t="s">
        <v>121</v>
      </c>
      <c r="F50" s="45" t="s">
        <v>138</v>
      </c>
    </row>
    <row r="51" ht="15.75" customHeight="1">
      <c r="A51" s="7" t="s">
        <v>139</v>
      </c>
      <c r="B51" s="8" t="s">
        <v>140</v>
      </c>
      <c r="C51" s="52">
        <v>0.3</v>
      </c>
      <c r="D51" s="8" t="s">
        <v>141</v>
      </c>
      <c r="E51" s="8" t="s">
        <v>25</v>
      </c>
      <c r="F51" s="9"/>
    </row>
    <row r="52" ht="15.75" customHeight="1">
      <c r="A52" s="7" t="s">
        <v>139</v>
      </c>
      <c r="B52" s="8" t="s">
        <v>142</v>
      </c>
      <c r="C52" s="52">
        <v>0.45</v>
      </c>
      <c r="D52" s="8" t="s">
        <v>141</v>
      </c>
      <c r="E52" s="8" t="s">
        <v>25</v>
      </c>
      <c r="F52" s="9"/>
    </row>
    <row r="53" ht="15.75" customHeight="1">
      <c r="A53" s="7" t="s">
        <v>139</v>
      </c>
      <c r="B53" s="8" t="s">
        <v>143</v>
      </c>
      <c r="C53" s="52">
        <v>0.25</v>
      </c>
      <c r="D53" s="8" t="s">
        <v>141</v>
      </c>
      <c r="E53" s="8" t="s">
        <v>25</v>
      </c>
      <c r="F53" s="9"/>
    </row>
    <row r="54" ht="15.75" customHeight="1">
      <c r="A54" s="42" t="s">
        <v>144</v>
      </c>
      <c r="B54" s="43" t="s">
        <v>145</v>
      </c>
      <c r="C54" s="44">
        <v>1.0</v>
      </c>
      <c r="D54" s="43" t="s">
        <v>146</v>
      </c>
      <c r="E54" s="43" t="s">
        <v>103</v>
      </c>
      <c r="F54" s="45"/>
    </row>
    <row r="55" ht="15.75" customHeight="1">
      <c r="A55" s="42" t="s">
        <v>144</v>
      </c>
      <c r="B55" s="43" t="s">
        <v>147</v>
      </c>
      <c r="C55" s="44">
        <v>0.75</v>
      </c>
      <c r="D55" s="43" t="s">
        <v>146</v>
      </c>
      <c r="E55" s="43" t="s">
        <v>103</v>
      </c>
      <c r="F55" s="45"/>
    </row>
    <row r="56" ht="15.75" customHeight="1">
      <c r="A56" s="42" t="s">
        <v>144</v>
      </c>
      <c r="B56" s="43" t="s">
        <v>148</v>
      </c>
      <c r="C56" s="44">
        <v>0.35</v>
      </c>
      <c r="D56" s="43" t="s">
        <v>146</v>
      </c>
      <c r="E56" s="43" t="s">
        <v>103</v>
      </c>
      <c r="F56" s="45"/>
    </row>
    <row r="57" ht="15.75" customHeight="1">
      <c r="A57" s="42" t="s">
        <v>149</v>
      </c>
      <c r="B57" s="43" t="s">
        <v>150</v>
      </c>
      <c r="C57" s="53">
        <v>12.0</v>
      </c>
      <c r="D57" s="43" t="s">
        <v>151</v>
      </c>
      <c r="E57" s="43" t="s">
        <v>103</v>
      </c>
      <c r="F57" s="45"/>
    </row>
    <row r="58" ht="15.75" customHeight="1">
      <c r="A58" s="7" t="s">
        <v>149</v>
      </c>
      <c r="B58" s="8" t="s">
        <v>152</v>
      </c>
      <c r="C58" s="54">
        <v>30.0</v>
      </c>
      <c r="D58" s="8" t="s">
        <v>151</v>
      </c>
      <c r="E58" s="8" t="s">
        <v>153</v>
      </c>
      <c r="F58" s="9"/>
    </row>
    <row r="59" ht="15.75" customHeight="1">
      <c r="A59" s="42" t="s">
        <v>149</v>
      </c>
      <c r="B59" s="43" t="s">
        <v>154</v>
      </c>
      <c r="C59" s="53">
        <v>6.0</v>
      </c>
      <c r="D59" s="43" t="s">
        <v>151</v>
      </c>
      <c r="E59" s="43" t="s">
        <v>103</v>
      </c>
      <c r="F59" s="45"/>
    </row>
    <row r="60" ht="15.75" customHeight="1">
      <c r="A60" s="42" t="s">
        <v>155</v>
      </c>
      <c r="B60" s="43" t="s">
        <v>156</v>
      </c>
      <c r="C60" s="44">
        <v>0.12</v>
      </c>
      <c r="D60" s="43" t="s">
        <v>157</v>
      </c>
      <c r="E60" s="43" t="s">
        <v>121</v>
      </c>
      <c r="F60" s="45"/>
    </row>
    <row r="61" ht="15.75" customHeight="1">
      <c r="A61" s="42" t="s">
        <v>158</v>
      </c>
      <c r="B61" s="43" t="s">
        <v>159</v>
      </c>
      <c r="C61" s="44">
        <v>0.05</v>
      </c>
      <c r="D61" s="43" t="s">
        <v>160</v>
      </c>
      <c r="E61" s="43" t="s">
        <v>121</v>
      </c>
      <c r="F61" s="45"/>
    </row>
    <row r="62" ht="15.75" customHeight="1">
      <c r="A62" s="42" t="s">
        <v>158</v>
      </c>
      <c r="B62" s="43" t="s">
        <v>161</v>
      </c>
      <c r="C62" s="44">
        <v>0.2</v>
      </c>
      <c r="D62" s="43" t="s">
        <v>160</v>
      </c>
      <c r="E62" s="43" t="s">
        <v>121</v>
      </c>
      <c r="F62" s="45"/>
    </row>
    <row r="63" ht="15.75" customHeight="1">
      <c r="A63" s="42" t="s">
        <v>158</v>
      </c>
      <c r="B63" s="43" t="s">
        <v>162</v>
      </c>
      <c r="C63" s="44">
        <v>0.75</v>
      </c>
      <c r="D63" s="43" t="s">
        <v>160</v>
      </c>
      <c r="E63" s="43" t="s">
        <v>121</v>
      </c>
      <c r="F63" s="45"/>
    </row>
    <row r="64" ht="15.75" customHeight="1">
      <c r="A64" s="7" t="s">
        <v>163</v>
      </c>
      <c r="B64" s="8" t="s">
        <v>164</v>
      </c>
      <c r="C64" s="37">
        <v>3000.0</v>
      </c>
      <c r="D64" s="8" t="s">
        <v>30</v>
      </c>
      <c r="E64" s="8" t="s">
        <v>25</v>
      </c>
      <c r="F64" s="9"/>
    </row>
    <row r="65" ht="15.75" customHeight="1">
      <c r="A65" s="7" t="s">
        <v>163</v>
      </c>
      <c r="B65" s="8" t="s">
        <v>165</v>
      </c>
      <c r="C65" s="37">
        <v>1300.0</v>
      </c>
      <c r="D65" s="8" t="s">
        <v>30</v>
      </c>
      <c r="E65" s="8" t="s">
        <v>25</v>
      </c>
      <c r="F65" s="9"/>
    </row>
    <row r="66" ht="15.75" customHeight="1">
      <c r="A66" s="7" t="s">
        <v>163</v>
      </c>
      <c r="B66" s="8" t="s">
        <v>166</v>
      </c>
      <c r="C66" s="54">
        <v>30.0</v>
      </c>
      <c r="D66" s="8" t="s">
        <v>151</v>
      </c>
      <c r="E66" s="8" t="s">
        <v>25</v>
      </c>
      <c r="F66" s="9"/>
    </row>
    <row r="67" ht="15.75" customHeight="1">
      <c r="A67" s="7" t="s">
        <v>163</v>
      </c>
      <c r="B67" s="8" t="s">
        <v>167</v>
      </c>
      <c r="C67" s="37">
        <v>3400.0</v>
      </c>
      <c r="D67" s="8" t="s">
        <v>30</v>
      </c>
      <c r="E67" s="8" t="s">
        <v>25</v>
      </c>
      <c r="F67" s="9"/>
    </row>
    <row r="68" ht="15.75" customHeight="1">
      <c r="A68" s="7" t="s">
        <v>163</v>
      </c>
      <c r="B68" s="8" t="s">
        <v>168</v>
      </c>
      <c r="C68" s="37">
        <v>1200.0</v>
      </c>
      <c r="D68" s="8" t="s">
        <v>30</v>
      </c>
      <c r="E68" s="8" t="s">
        <v>25</v>
      </c>
      <c r="F68" s="9"/>
    </row>
    <row r="69" ht="15.75" customHeight="1">
      <c r="A69" s="20" t="s">
        <v>163</v>
      </c>
      <c r="B69" s="55" t="s">
        <v>169</v>
      </c>
      <c r="C69" s="56">
        <v>24.0</v>
      </c>
      <c r="D69" s="55" t="s">
        <v>151</v>
      </c>
      <c r="E69" s="55" t="s">
        <v>25</v>
      </c>
      <c r="F69" s="57"/>
    </row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8.0"/>
    <col customWidth="1" min="2" max="2" width="12.0"/>
    <col customWidth="1" min="3" max="5" width="16.0"/>
    <col customWidth="1" min="6" max="8" width="18.0"/>
    <col customWidth="1" min="9" max="26" width="8.63"/>
  </cols>
  <sheetData>
    <row r="1">
      <c r="A1" s="33" t="s">
        <v>170</v>
      </c>
      <c r="B1" s="34" t="s">
        <v>171</v>
      </c>
      <c r="C1" s="34" t="s">
        <v>172</v>
      </c>
      <c r="D1" s="34" t="s">
        <v>173</v>
      </c>
      <c r="E1" s="34" t="s">
        <v>174</v>
      </c>
      <c r="F1" s="34" t="s">
        <v>175</v>
      </c>
      <c r="G1" s="34" t="s">
        <v>176</v>
      </c>
      <c r="H1" s="35" t="s">
        <v>177</v>
      </c>
    </row>
    <row r="2">
      <c r="A2" s="7" t="s">
        <v>178</v>
      </c>
      <c r="B2" s="18">
        <v>4.0</v>
      </c>
      <c r="C2" s="18">
        <v>68.67</v>
      </c>
      <c r="D2" s="18">
        <v>11.08</v>
      </c>
      <c r="E2" s="18">
        <f t="shared" ref="E2:E4" si="1">C2+D2</f>
        <v>79.75</v>
      </c>
      <c r="F2" s="18">
        <f t="shared" ref="F2:F4" si="2">B2*C2</f>
        <v>274.68</v>
      </c>
      <c r="G2" s="18">
        <f t="shared" ref="G2:G4" si="3">B2*D2</f>
        <v>44.32</v>
      </c>
      <c r="H2" s="58">
        <f t="shared" ref="H2:H4" si="4">B2*E2</f>
        <v>319</v>
      </c>
    </row>
    <row r="3">
      <c r="A3" s="7" t="s">
        <v>179</v>
      </c>
      <c r="B3" s="18">
        <v>4.0</v>
      </c>
      <c r="C3" s="18">
        <v>35.79</v>
      </c>
      <c r="D3" s="18">
        <v>3.27</v>
      </c>
      <c r="E3" s="18">
        <f t="shared" si="1"/>
        <v>39.06</v>
      </c>
      <c r="F3" s="18">
        <f t="shared" si="2"/>
        <v>143.16</v>
      </c>
      <c r="G3" s="18">
        <f t="shared" si="3"/>
        <v>13.08</v>
      </c>
      <c r="H3" s="58">
        <f t="shared" si="4"/>
        <v>156.24</v>
      </c>
    </row>
    <row r="4">
      <c r="A4" s="7" t="s">
        <v>180</v>
      </c>
      <c r="B4" s="18">
        <v>4.0</v>
      </c>
      <c r="C4" s="18">
        <v>48.39</v>
      </c>
      <c r="D4" s="18">
        <v>7.79</v>
      </c>
      <c r="E4" s="18">
        <f t="shared" si="1"/>
        <v>56.18</v>
      </c>
      <c r="F4" s="18">
        <f t="shared" si="2"/>
        <v>193.56</v>
      </c>
      <c r="G4" s="18">
        <f t="shared" si="3"/>
        <v>31.16</v>
      </c>
      <c r="H4" s="58">
        <f t="shared" si="4"/>
        <v>224.72</v>
      </c>
    </row>
    <row r="5">
      <c r="A5" s="59" t="s">
        <v>181</v>
      </c>
      <c r="B5" s="60">
        <f>SUM(B2:B4)</f>
        <v>12</v>
      </c>
      <c r="C5" s="60"/>
      <c r="D5" s="60"/>
      <c r="E5" s="60"/>
      <c r="F5" s="60">
        <f t="shared" ref="F5:H5" si="5">SUM(F2:F4)</f>
        <v>611.4</v>
      </c>
      <c r="G5" s="60">
        <f t="shared" si="5"/>
        <v>88.56</v>
      </c>
      <c r="H5" s="61">
        <f t="shared" si="5"/>
        <v>699.96</v>
      </c>
    </row>
    <row r="6">
      <c r="A6" s="7"/>
      <c r="B6" s="18"/>
      <c r="C6" s="18"/>
      <c r="D6" s="18"/>
      <c r="E6" s="18"/>
      <c r="F6" s="18"/>
      <c r="G6" s="18"/>
      <c r="H6" s="58"/>
    </row>
    <row r="7">
      <c r="A7" s="15" t="s">
        <v>182</v>
      </c>
      <c r="B7" s="62"/>
      <c r="C7" s="62"/>
      <c r="D7" s="62"/>
      <c r="E7" s="62"/>
      <c r="F7" s="62"/>
      <c r="G7" s="62"/>
      <c r="H7" s="63"/>
    </row>
    <row r="8">
      <c r="A8" s="7" t="s">
        <v>183</v>
      </c>
      <c r="B8" s="18"/>
      <c r="C8" s="18"/>
      <c r="D8" s="18"/>
      <c r="E8" s="18"/>
      <c r="F8" s="18">
        <f>Inputs!$C$15</f>
        <v>655.66</v>
      </c>
      <c r="G8" s="18"/>
      <c r="H8" s="58"/>
    </row>
    <row r="9">
      <c r="A9" s="7" t="s">
        <v>184</v>
      </c>
      <c r="B9" s="18"/>
      <c r="C9" s="18"/>
      <c r="D9" s="18"/>
      <c r="E9" s="18"/>
      <c r="F9" s="18">
        <f>Inputs!$C$16</f>
        <v>111.07</v>
      </c>
      <c r="G9" s="18"/>
      <c r="H9" s="58"/>
    </row>
    <row r="10">
      <c r="A10" s="7" t="s">
        <v>185</v>
      </c>
      <c r="B10" s="18"/>
      <c r="C10" s="18"/>
      <c r="D10" s="18"/>
      <c r="E10" s="18"/>
      <c r="F10" s="18">
        <f>Inputs!$C$17</f>
        <v>60.84</v>
      </c>
      <c r="G10" s="18"/>
      <c r="H10" s="58"/>
    </row>
    <row r="11">
      <c r="A11" s="7" t="s">
        <v>186</v>
      </c>
      <c r="B11" s="18"/>
      <c r="C11" s="18"/>
      <c r="D11" s="18"/>
      <c r="E11" s="18"/>
      <c r="F11" s="18">
        <f>Inputs!$C$18</f>
        <v>786</v>
      </c>
      <c r="G11" s="18"/>
      <c r="H11" s="58"/>
    </row>
    <row r="12">
      <c r="A12" s="7" t="s">
        <v>187</v>
      </c>
      <c r="B12" s="18"/>
      <c r="C12" s="18"/>
      <c r="D12" s="18"/>
      <c r="E12" s="18"/>
      <c r="F12" s="18">
        <f>Inputs!$C$22</f>
        <v>390.03</v>
      </c>
      <c r="G12" s="18"/>
      <c r="H12" s="58"/>
    </row>
    <row r="13">
      <c r="A13" s="7" t="s">
        <v>188</v>
      </c>
      <c r="B13" s="18"/>
      <c r="C13" s="18"/>
      <c r="D13" s="18"/>
      <c r="E13" s="18"/>
      <c r="F13" s="18">
        <f>Inputs!$C$23</f>
        <v>974.85</v>
      </c>
      <c r="G13" s="18"/>
      <c r="H13" s="58"/>
    </row>
    <row r="14">
      <c r="A14" s="7" t="s">
        <v>90</v>
      </c>
      <c r="B14" s="18"/>
      <c r="C14" s="18"/>
      <c r="D14" s="18"/>
      <c r="E14" s="18"/>
      <c r="F14" s="18">
        <f>Inputs!$C$24</f>
        <v>1217.6</v>
      </c>
      <c r="G14" s="18"/>
      <c r="H14" s="58"/>
    </row>
    <row r="15">
      <c r="A15" s="7"/>
      <c r="B15" s="18"/>
      <c r="C15" s="18"/>
      <c r="D15" s="18"/>
      <c r="E15" s="18"/>
      <c r="F15" s="18"/>
      <c r="G15" s="18"/>
      <c r="H15" s="58"/>
    </row>
    <row r="16">
      <c r="A16" s="64" t="s">
        <v>32</v>
      </c>
      <c r="B16" s="65">
        <f>Inputs!$C$29</f>
        <v>6</v>
      </c>
      <c r="C16" s="65"/>
      <c r="D16" s="65"/>
      <c r="E16" s="65"/>
      <c r="F16" s="65">
        <f>Inputs!$C$25</f>
        <v>68.43</v>
      </c>
      <c r="G16" s="65">
        <f>Inputs!$C$26+Inputs!$C$27</f>
        <v>171.97</v>
      </c>
      <c r="H16" s="66">
        <f>Inputs!$C$25+Inputs!$C$26+Inputs!$C$27</f>
        <v>240.4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44.0"/>
    <col customWidth="1" min="2" max="4" width="18.0"/>
    <col customWidth="1" min="5" max="26" width="8.63"/>
  </cols>
  <sheetData>
    <row r="1">
      <c r="A1" s="67" t="s">
        <v>189</v>
      </c>
      <c r="B1" s="68"/>
      <c r="C1" s="68"/>
      <c r="D1" s="69"/>
    </row>
    <row r="2">
      <c r="A2" s="7"/>
      <c r="B2" s="8"/>
      <c r="C2" s="8"/>
      <c r="D2" s="9"/>
    </row>
    <row r="3">
      <c r="A3" s="15" t="s">
        <v>190</v>
      </c>
      <c r="B3" s="16"/>
      <c r="C3" s="16"/>
      <c r="D3" s="17"/>
    </row>
    <row r="4">
      <c r="A4" s="10" t="s">
        <v>191</v>
      </c>
      <c r="B4" s="11" t="s">
        <v>192</v>
      </c>
      <c r="C4" s="11" t="s">
        <v>193</v>
      </c>
      <c r="D4" s="12" t="s">
        <v>194</v>
      </c>
    </row>
    <row r="5">
      <c r="A5" s="7" t="s">
        <v>195</v>
      </c>
      <c r="B5" s="70">
        <f>Inputs!$C$51</f>
        <v>0.3</v>
      </c>
      <c r="C5" s="71">
        <f>1+Inputs!$C$32</f>
        <v>0.85</v>
      </c>
      <c r="D5" s="72">
        <f>(Inputs!$C$18*Inputs!$C$30+Inputs!$C$29*Inputs!$C$31)*Inputs!$C$51*(1+Inputs!$C$32)</f>
        <v>627147</v>
      </c>
    </row>
    <row r="6">
      <c r="A6" s="7" t="s">
        <v>196</v>
      </c>
      <c r="B6" s="70">
        <f>Inputs!$C$52</f>
        <v>0.45</v>
      </c>
      <c r="C6" s="71">
        <f>1+Inputs!$C$33</f>
        <v>1</v>
      </c>
      <c r="D6" s="72">
        <f>(Inputs!$C$18*Inputs!$C$30+Inputs!$C$29*Inputs!$C$31)*Inputs!$C$52*(1+Inputs!$C$33)</f>
        <v>1106730</v>
      </c>
    </row>
    <row r="7">
      <c r="A7" s="7" t="s">
        <v>197</v>
      </c>
      <c r="B7" s="70">
        <f>Inputs!$C$53</f>
        <v>0.25</v>
      </c>
      <c r="C7" s="71">
        <f>1+Inputs!$C$34</f>
        <v>1.15</v>
      </c>
      <c r="D7" s="72">
        <f>(Inputs!$C$18*Inputs!$C$30+Inputs!$C$29*Inputs!$C$31)*Inputs!$C$53*(1+Inputs!$C$34)</f>
        <v>707077.5</v>
      </c>
    </row>
    <row r="8">
      <c r="A8" s="59" t="s">
        <v>198</v>
      </c>
      <c r="B8" s="73"/>
      <c r="C8" s="73"/>
      <c r="D8" s="74">
        <f>SUM(D5:D7)</f>
        <v>2440954.5</v>
      </c>
    </row>
    <row r="9">
      <c r="A9" s="7" t="s">
        <v>199</v>
      </c>
      <c r="B9" s="8"/>
      <c r="C9" s="8"/>
      <c r="D9" s="72">
        <f>D8/Inputs!$C$18</f>
        <v>3105.540076</v>
      </c>
    </row>
    <row r="10">
      <c r="A10" s="75" t="s">
        <v>200</v>
      </c>
      <c r="B10" s="8"/>
      <c r="C10" s="8"/>
      <c r="D10" s="9">
        <f>D8/D9</f>
        <v>786</v>
      </c>
    </row>
    <row r="11">
      <c r="A11" s="15" t="s">
        <v>201</v>
      </c>
      <c r="B11" s="16"/>
      <c r="C11" s="16"/>
      <c r="D11" s="17"/>
    </row>
    <row r="12">
      <c r="A12" s="10" t="s">
        <v>191</v>
      </c>
      <c r="B12" s="11" t="s">
        <v>192</v>
      </c>
      <c r="C12" s="11" t="s">
        <v>193</v>
      </c>
      <c r="D12" s="12" t="s">
        <v>194</v>
      </c>
    </row>
    <row r="13">
      <c r="A13" s="7" t="s">
        <v>24</v>
      </c>
      <c r="B13" s="13">
        <f>Inputs!$C$7</f>
        <v>370000</v>
      </c>
      <c r="C13" s="13"/>
      <c r="D13" s="72">
        <f>Inputs!$C$7</f>
        <v>370000</v>
      </c>
    </row>
    <row r="14">
      <c r="A14" s="7" t="s">
        <v>202</v>
      </c>
      <c r="B14" s="13">
        <f>Inputs!$C$7</f>
        <v>370000</v>
      </c>
      <c r="C14" s="14">
        <f>Inputs!$C$12</f>
        <v>0.03</v>
      </c>
      <c r="D14" s="72">
        <f>Inputs!$C$7*Inputs!$C$12</f>
        <v>11100</v>
      </c>
    </row>
    <row r="15">
      <c r="A15" s="7" t="s">
        <v>203</v>
      </c>
      <c r="B15" s="13">
        <f>Inputs!$C$7</f>
        <v>370000</v>
      </c>
      <c r="C15" s="14">
        <f>Inputs!$C$11</f>
        <v>0</v>
      </c>
      <c r="D15" s="72">
        <f>Inputs!$C$7*Inputs!$C$11</f>
        <v>0</v>
      </c>
    </row>
    <row r="16">
      <c r="A16" s="7" t="s">
        <v>204</v>
      </c>
      <c r="B16" s="13">
        <f>Inputs!$C$7</f>
        <v>370000</v>
      </c>
      <c r="C16" s="14">
        <f>Inputs!$C$13+Inputs!$C$14</f>
        <v>0</v>
      </c>
      <c r="D16" s="72">
        <f>Inputs!$C$7*(Inputs!$C$13+Inputs!$C$14)</f>
        <v>0</v>
      </c>
    </row>
    <row r="17">
      <c r="A17" s="59" t="s">
        <v>205</v>
      </c>
      <c r="B17" s="73"/>
      <c r="C17" s="73"/>
      <c r="D17" s="74">
        <f>SUM(D13:D16)</f>
        <v>381100</v>
      </c>
    </row>
    <row r="18">
      <c r="A18" s="7"/>
      <c r="B18" s="8"/>
      <c r="C18" s="8"/>
      <c r="D18" s="9"/>
    </row>
    <row r="19">
      <c r="A19" s="7" t="s">
        <v>206</v>
      </c>
      <c r="B19" s="76">
        <v>974.0</v>
      </c>
      <c r="C19" s="77">
        <f>Inputs!C35</f>
        <v>1200</v>
      </c>
      <c r="D19" s="72">
        <f t="shared" ref="D19:D21" si="1">B19*C19</f>
        <v>1168800</v>
      </c>
    </row>
    <row r="20">
      <c r="A20" s="7" t="s">
        <v>207</v>
      </c>
      <c r="B20" s="76">
        <v>170.0</v>
      </c>
      <c r="C20" s="77">
        <v>500.0</v>
      </c>
      <c r="D20" s="72">
        <f t="shared" si="1"/>
        <v>85000</v>
      </c>
    </row>
    <row r="21" ht="15.75" customHeight="1">
      <c r="A21" s="7"/>
      <c r="B21" s="76"/>
      <c r="C21" s="77"/>
      <c r="D21" s="72">
        <f t="shared" si="1"/>
        <v>0</v>
      </c>
    </row>
    <row r="22" ht="15.75" customHeight="1">
      <c r="A22" s="59" t="s">
        <v>208</v>
      </c>
      <c r="B22" s="73"/>
      <c r="C22" s="73"/>
      <c r="D22" s="74">
        <f>SUM(D19:D21)</f>
        <v>1253800</v>
      </c>
    </row>
    <row r="23" ht="15.75" customHeight="1">
      <c r="A23" s="7" t="s">
        <v>116</v>
      </c>
      <c r="B23" s="13"/>
      <c r="C23" s="78">
        <f>Inputs!$C$38</f>
        <v>0.08</v>
      </c>
      <c r="D23" s="79">
        <f>D22*C23</f>
        <v>100304</v>
      </c>
      <c r="F23" s="80">
        <f>D23</f>
        <v>100304</v>
      </c>
    </row>
    <row r="24" ht="15.75" customHeight="1">
      <c r="A24" s="7"/>
      <c r="B24" s="8"/>
      <c r="C24" s="8"/>
      <c r="D24" s="9"/>
    </row>
    <row r="25" ht="15.75" customHeight="1">
      <c r="A25" s="7" t="s">
        <v>54</v>
      </c>
      <c r="B25" s="13"/>
      <c r="C25" s="70">
        <f>Inputs!$C$39</f>
        <v>0.014</v>
      </c>
      <c r="D25" s="72">
        <f>D22*C25</f>
        <v>17553.2</v>
      </c>
    </row>
    <row r="26" ht="15.75" customHeight="1">
      <c r="A26" s="7" t="s">
        <v>122</v>
      </c>
      <c r="B26" s="13"/>
      <c r="C26" s="70">
        <f>Inputs!$C$40</f>
        <v>0.03</v>
      </c>
      <c r="D26" s="72">
        <f>D22*C26</f>
        <v>37614</v>
      </c>
    </row>
    <row r="27" ht="15.75" customHeight="1">
      <c r="A27" s="7" t="s">
        <v>123</v>
      </c>
      <c r="B27" s="13"/>
      <c r="C27" s="81">
        <v>0.01</v>
      </c>
      <c r="D27" s="72">
        <f>D22*C27</f>
        <v>12538</v>
      </c>
    </row>
    <row r="28" ht="15.75" customHeight="1">
      <c r="A28" s="7" t="s">
        <v>124</v>
      </c>
      <c r="B28" s="13"/>
      <c r="C28" s="81">
        <v>0.01</v>
      </c>
      <c r="D28" s="72">
        <f>D22*C28</f>
        <v>12538</v>
      </c>
    </row>
    <row r="29" ht="15.75" customHeight="1">
      <c r="A29" s="7" t="s">
        <v>125</v>
      </c>
      <c r="B29" s="13"/>
      <c r="C29" s="70">
        <f>Inputs!$C$43</f>
        <v>0.015</v>
      </c>
      <c r="D29" s="72">
        <f>D22*C29</f>
        <v>18807</v>
      </c>
      <c r="F29" s="80">
        <f t="shared" ref="F29:F30" si="2">D29</f>
        <v>18807</v>
      </c>
    </row>
    <row r="30" ht="15.75" customHeight="1">
      <c r="A30" s="7" t="s">
        <v>126</v>
      </c>
      <c r="B30" s="13"/>
      <c r="C30" s="70">
        <f>Inputs!$C$44</f>
        <v>0.04</v>
      </c>
      <c r="D30" s="72">
        <f>D22*C30</f>
        <v>50152</v>
      </c>
      <c r="F30" s="80">
        <f t="shared" si="2"/>
        <v>50152</v>
      </c>
    </row>
    <row r="31" ht="15.75" customHeight="1">
      <c r="A31" s="59" t="s">
        <v>209</v>
      </c>
      <c r="B31" s="73"/>
      <c r="C31" s="73"/>
      <c r="D31" s="74">
        <f>SUM(D25:D30)</f>
        <v>149202.2</v>
      </c>
    </row>
    <row r="32" ht="15.75" customHeight="1">
      <c r="A32" s="7" t="s">
        <v>127</v>
      </c>
      <c r="B32" s="18">
        <f>Inputs!$C$24</f>
        <v>1217.6</v>
      </c>
      <c r="C32" s="13">
        <f>Inputs!$C$45</f>
        <v>25</v>
      </c>
      <c r="D32" s="72">
        <f>B32*C32</f>
        <v>30440</v>
      </c>
    </row>
    <row r="33" ht="15.75" customHeight="1">
      <c r="A33" s="7" t="s">
        <v>210</v>
      </c>
      <c r="B33" s="13"/>
      <c r="C33" s="70">
        <f>Inputs!$C$47</f>
        <v>0.12</v>
      </c>
      <c r="D33" s="72">
        <f>(D22+D23+D31+D32)*C33</f>
        <v>184049.544</v>
      </c>
    </row>
    <row r="34" ht="15.75" customHeight="1">
      <c r="A34" s="59" t="s">
        <v>211</v>
      </c>
      <c r="B34" s="73"/>
      <c r="C34" s="73"/>
      <c r="D34" s="74">
        <f>D22+D23+D31+D32+D33</f>
        <v>1717795.744</v>
      </c>
    </row>
    <row r="35" ht="15.75" customHeight="1">
      <c r="A35" s="7"/>
      <c r="B35" s="8"/>
      <c r="C35" s="8"/>
      <c r="D35" s="9"/>
    </row>
    <row r="36" ht="15.75" customHeight="1">
      <c r="A36" s="15" t="s">
        <v>212</v>
      </c>
      <c r="B36" s="16"/>
      <c r="C36" s="16"/>
      <c r="D36" s="17"/>
    </row>
    <row r="37" ht="15.75" customHeight="1">
      <c r="A37" s="7" t="s">
        <v>131</v>
      </c>
      <c r="B37" s="13"/>
      <c r="C37" s="70">
        <f>Inputs!$C$46</f>
        <v>0.015</v>
      </c>
      <c r="D37" s="72">
        <f>D8*C37</f>
        <v>36614.3175</v>
      </c>
      <c r="F37" s="80">
        <f t="shared" ref="F37:F38" si="3">D37</f>
        <v>36614.3175</v>
      </c>
    </row>
    <row r="38" ht="15.75" customHeight="1">
      <c r="A38" s="7" t="s">
        <v>213</v>
      </c>
      <c r="B38" s="13"/>
      <c r="C38" s="70">
        <f>Inputs!$C$49</f>
        <v>0.02</v>
      </c>
      <c r="D38" s="72">
        <f>D8*C38</f>
        <v>48819.09</v>
      </c>
      <c r="F38" s="80">
        <f t="shared" si="3"/>
        <v>48819.09</v>
      </c>
    </row>
    <row r="39" ht="15.75" customHeight="1">
      <c r="A39" s="7" t="s">
        <v>137</v>
      </c>
      <c r="B39" s="13"/>
      <c r="C39" s="70">
        <f>Inputs!$C$50</f>
        <v>0.077</v>
      </c>
      <c r="D39" s="72">
        <f>D8*C39</f>
        <v>187953.4965</v>
      </c>
    </row>
    <row r="40" ht="15.75" customHeight="1">
      <c r="A40" s="7" t="s">
        <v>135</v>
      </c>
      <c r="B40" s="13"/>
      <c r="C40" s="70">
        <f>Inputs!$C$48</f>
        <v>0.105</v>
      </c>
      <c r="D40" s="72">
        <f>((D8*(D34/(D34+D17)))/(1+C40))*C40</f>
        <v>189831.0984</v>
      </c>
    </row>
    <row r="41" ht="15.75" customHeight="1">
      <c r="A41" s="7" t="s">
        <v>214</v>
      </c>
      <c r="B41" s="13"/>
      <c r="C41" s="70"/>
      <c r="D41" s="72">
        <f>MAX(0,D40-D33)</f>
        <v>5781.554405</v>
      </c>
    </row>
    <row r="42" ht="15.75" customHeight="1">
      <c r="A42" s="59" t="s">
        <v>215</v>
      </c>
      <c r="B42" s="73"/>
      <c r="C42" s="73"/>
      <c r="D42" s="74">
        <f>SUM(D37:D39)+D41</f>
        <v>279168.4584</v>
      </c>
    </row>
    <row r="43" ht="15.75" customHeight="1">
      <c r="A43" s="7"/>
      <c r="B43" s="8"/>
      <c r="C43" s="8"/>
      <c r="D43" s="9"/>
    </row>
    <row r="44" ht="15.75" customHeight="1">
      <c r="A44" s="15" t="s">
        <v>216</v>
      </c>
      <c r="B44" s="16"/>
      <c r="C44" s="16"/>
      <c r="D44" s="17"/>
    </row>
    <row r="45" ht="15.75" customHeight="1">
      <c r="A45" s="59" t="s">
        <v>217</v>
      </c>
      <c r="B45" s="82"/>
      <c r="C45" s="82"/>
      <c r="D45" s="74">
        <f>D17+D34+D42</f>
        <v>2378064.202</v>
      </c>
    </row>
    <row r="46" ht="15.75" customHeight="1">
      <c r="A46" s="59" t="s">
        <v>218</v>
      </c>
      <c r="B46" s="82"/>
      <c r="C46" s="82"/>
      <c r="D46" s="74">
        <f>D8-D45</f>
        <v>62890.29759</v>
      </c>
      <c r="F46" s="80">
        <f>sum(F23:F44)</f>
        <v>254696.4075</v>
      </c>
    </row>
    <row r="47" ht="15.75" customHeight="1">
      <c r="A47" s="59" t="s">
        <v>13</v>
      </c>
      <c r="B47" s="82"/>
      <c r="C47" s="82"/>
      <c r="D47" s="83">
        <f>D46/D45</f>
        <v>0.02644600492</v>
      </c>
    </row>
    <row r="48" ht="15.75" customHeight="1">
      <c r="A48" s="59" t="s">
        <v>219</v>
      </c>
      <c r="B48" s="82"/>
      <c r="C48" s="82"/>
      <c r="D48" s="83">
        <f>D46/D8</f>
        <v>0.0257646333</v>
      </c>
    </row>
    <row r="49" ht="15.75" customHeight="1">
      <c r="A49" s="59" t="s">
        <v>220</v>
      </c>
      <c r="B49" s="82"/>
      <c r="C49" s="82"/>
      <c r="D49" s="74">
        <f>D17/Inputs!$C$15</f>
        <v>581.2463777</v>
      </c>
    </row>
    <row r="50" ht="15.75" customHeight="1">
      <c r="A50" s="59" t="s">
        <v>221</v>
      </c>
      <c r="B50" s="82"/>
      <c r="C50" s="82"/>
      <c r="D50" s="74">
        <f>(D34+D42)/Inputs!$C$15</f>
        <v>3045.731328</v>
      </c>
    </row>
    <row r="51" ht="15.75" customHeight="1">
      <c r="A51" s="59" t="s">
        <v>222</v>
      </c>
      <c r="B51" s="82"/>
      <c r="C51" s="82"/>
      <c r="D51" s="74">
        <f>D45/Inputs!$C$15</f>
        <v>3626.977706</v>
      </c>
    </row>
    <row r="52" ht="15.75" customHeight="1">
      <c r="A52" s="59" t="s">
        <v>223</v>
      </c>
      <c r="B52" s="82"/>
      <c r="C52" s="82"/>
      <c r="D52" s="74">
        <f>D5*Inputs!$C$54+D6*Inputs!$C$55+D7*Inputs!$C$56</f>
        <v>1704671.625</v>
      </c>
    </row>
    <row r="53" ht="15.75" customHeight="1">
      <c r="A53" s="59" t="s">
        <v>224</v>
      </c>
      <c r="B53" s="82"/>
      <c r="C53" s="82"/>
      <c r="D53" s="74">
        <f>MAX(0,D45-D52)</f>
        <v>673392.5774</v>
      </c>
    </row>
    <row r="54" ht="15.75" customHeight="1">
      <c r="A54" s="59" t="s">
        <v>225</v>
      </c>
      <c r="B54" s="82"/>
      <c r="C54" s="82"/>
      <c r="D54" s="74">
        <f>D8-D52</f>
        <v>736282.875</v>
      </c>
    </row>
    <row r="55" ht="15.75" customHeight="1">
      <c r="A55" s="59" t="s">
        <v>226</v>
      </c>
      <c r="B55" s="82"/>
      <c r="C55" s="82"/>
      <c r="D55" s="74">
        <f>D46*Inputs!$C$63</f>
        <v>47167.7232</v>
      </c>
    </row>
    <row r="56" ht="15.75" customHeight="1">
      <c r="A56" s="7"/>
      <c r="B56" s="8"/>
      <c r="C56" s="8"/>
      <c r="D56" s="9"/>
    </row>
    <row r="57" ht="15.75" customHeight="1">
      <c r="A57" s="20" t="s">
        <v>227</v>
      </c>
      <c r="B57" s="55"/>
      <c r="C57" s="55"/>
      <c r="D57" s="57" t="s">
        <v>228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2" width="16.0"/>
    <col customWidth="1" min="3" max="3" width="18.0"/>
    <col customWidth="1" min="4" max="7" width="16.0"/>
    <col customWidth="1" min="8" max="26" width="8.63"/>
  </cols>
  <sheetData>
    <row r="1">
      <c r="A1" s="67" t="s">
        <v>229</v>
      </c>
      <c r="B1" s="68"/>
      <c r="C1" s="68"/>
      <c r="D1" s="68"/>
      <c r="E1" s="68"/>
      <c r="F1" s="68"/>
      <c r="G1" s="69"/>
    </row>
    <row r="2">
      <c r="A2" s="7"/>
      <c r="B2" s="8"/>
      <c r="C2" s="8"/>
      <c r="D2" s="8"/>
      <c r="E2" s="8"/>
      <c r="F2" s="8"/>
      <c r="G2" s="9"/>
    </row>
    <row r="3">
      <c r="A3" s="10" t="s">
        <v>191</v>
      </c>
      <c r="B3" s="11" t="s">
        <v>230</v>
      </c>
      <c r="C3" s="11" t="s">
        <v>231</v>
      </c>
      <c r="D3" s="11" t="s">
        <v>232</v>
      </c>
      <c r="E3" s="11" t="s">
        <v>233</v>
      </c>
      <c r="F3" s="11" t="s">
        <v>234</v>
      </c>
      <c r="G3" s="12" t="s">
        <v>235</v>
      </c>
    </row>
    <row r="4">
      <c r="A4" s="15" t="s">
        <v>236</v>
      </c>
      <c r="B4" s="16"/>
      <c r="C4" s="16"/>
      <c r="D4" s="16"/>
      <c r="E4" s="16"/>
      <c r="F4" s="16"/>
      <c r="G4" s="17"/>
    </row>
    <row r="5">
      <c r="A5" s="7" t="s">
        <v>237</v>
      </c>
      <c r="B5" s="13">
        <f>Prefactibilidad!D17</f>
        <v>381100</v>
      </c>
      <c r="C5" s="13">
        <f>B5</f>
        <v>381100</v>
      </c>
      <c r="D5" s="13">
        <v>0.0</v>
      </c>
      <c r="E5" s="13">
        <v>0.0</v>
      </c>
      <c r="F5" s="13">
        <v>0.0</v>
      </c>
      <c r="G5" s="72">
        <v>0.0</v>
      </c>
    </row>
    <row r="6">
      <c r="A6" s="7" t="s">
        <v>208</v>
      </c>
      <c r="B6" s="13">
        <f>Prefactibilidad!D22</f>
        <v>1253800</v>
      </c>
      <c r="C6" s="13">
        <v>0.0</v>
      </c>
      <c r="D6" s="13">
        <f t="shared" ref="D6:D7" si="1">B6*35%</f>
        <v>438830</v>
      </c>
      <c r="E6" s="13">
        <f t="shared" ref="E6:E7" si="2">B6*40%</f>
        <v>501520</v>
      </c>
      <c r="F6" s="13">
        <f t="shared" ref="F6:F7" si="3">B6*25%</f>
        <v>313450</v>
      </c>
      <c r="G6" s="72">
        <v>0.0</v>
      </c>
    </row>
    <row r="7">
      <c r="A7" s="7" t="s">
        <v>116</v>
      </c>
      <c r="B7" s="13">
        <f>Prefactibilidad!D23</f>
        <v>100304</v>
      </c>
      <c r="C7" s="13">
        <v>0.0</v>
      </c>
      <c r="D7" s="13">
        <f t="shared" si="1"/>
        <v>35106.4</v>
      </c>
      <c r="E7" s="13">
        <f t="shared" si="2"/>
        <v>40121.6</v>
      </c>
      <c r="F7" s="13">
        <f t="shared" si="3"/>
        <v>25076</v>
      </c>
      <c r="G7" s="72">
        <v>0.0</v>
      </c>
    </row>
    <row r="8">
      <c r="A8" s="7" t="s">
        <v>119</v>
      </c>
      <c r="B8" s="13">
        <f>Prefactibilidad!D31</f>
        <v>149202.2</v>
      </c>
      <c r="C8" s="13">
        <f>B8*20%</f>
        <v>29840.44</v>
      </c>
      <c r="D8" s="13">
        <f>B8*30%</f>
        <v>44760.66</v>
      </c>
      <c r="E8" s="13">
        <f>B8*30%</f>
        <v>44760.66</v>
      </c>
      <c r="F8" s="13">
        <f>B8*20%</f>
        <v>29840.44</v>
      </c>
      <c r="G8" s="72">
        <v>0.0</v>
      </c>
    </row>
    <row r="9">
      <c r="A9" s="7" t="s">
        <v>127</v>
      </c>
      <c r="B9" s="13">
        <f>Prefactibilidad!D32</f>
        <v>30440</v>
      </c>
      <c r="C9" s="13">
        <f>B9</f>
        <v>30440</v>
      </c>
      <c r="D9" s="13">
        <v>0.0</v>
      </c>
      <c r="E9" s="13">
        <v>0.0</v>
      </c>
      <c r="F9" s="13">
        <v>0.0</v>
      </c>
      <c r="G9" s="72">
        <v>0.0</v>
      </c>
    </row>
    <row r="10">
      <c r="A10" s="7" t="s">
        <v>238</v>
      </c>
      <c r="B10" s="13">
        <f>Prefactibilidad!D33</f>
        <v>184049.544</v>
      </c>
      <c r="C10" s="13">
        <f>B10*20%</f>
        <v>36809.9088</v>
      </c>
      <c r="D10" s="13">
        <f>B10*30%</f>
        <v>55214.8632</v>
      </c>
      <c r="E10" s="13">
        <f>B10*30%</f>
        <v>55214.8632</v>
      </c>
      <c r="F10" s="13">
        <f>B10*20%</f>
        <v>36809.9088</v>
      </c>
      <c r="G10" s="72">
        <v>0.0</v>
      </c>
    </row>
    <row r="11">
      <c r="A11" s="7" t="s">
        <v>239</v>
      </c>
      <c r="B11" s="13">
        <f>Prefactibilidad!D42</f>
        <v>279168.4584</v>
      </c>
      <c r="C11" s="13">
        <f>B11*15%</f>
        <v>41875.26876</v>
      </c>
      <c r="D11" s="13">
        <f>B11*20%</f>
        <v>55833.69168</v>
      </c>
      <c r="E11" s="13">
        <f>B11*25%</f>
        <v>69792.1146</v>
      </c>
      <c r="F11" s="13">
        <f>B11*25%</f>
        <v>69792.1146</v>
      </c>
      <c r="G11" s="72">
        <f>B11*15%</f>
        <v>41875.26876</v>
      </c>
    </row>
    <row r="12">
      <c r="A12" s="59" t="s">
        <v>240</v>
      </c>
      <c r="B12" s="73">
        <f t="shared" ref="B12:G12" si="4">SUM(B5:B11)</f>
        <v>2378064.202</v>
      </c>
      <c r="C12" s="73">
        <f t="shared" si="4"/>
        <v>520065.6176</v>
      </c>
      <c r="D12" s="73">
        <f t="shared" si="4"/>
        <v>629745.6149</v>
      </c>
      <c r="E12" s="73">
        <f t="shared" si="4"/>
        <v>711409.2378</v>
      </c>
      <c r="F12" s="73">
        <f t="shared" si="4"/>
        <v>474968.4634</v>
      </c>
      <c r="G12" s="74">
        <f t="shared" si="4"/>
        <v>41875.26876</v>
      </c>
    </row>
    <row r="13">
      <c r="A13" s="7"/>
      <c r="B13" s="13"/>
      <c r="C13" s="13"/>
      <c r="D13" s="13"/>
      <c r="E13" s="13"/>
      <c r="F13" s="13"/>
      <c r="G13" s="72"/>
    </row>
    <row r="14">
      <c r="A14" s="15" t="s">
        <v>190</v>
      </c>
      <c r="B14" s="84"/>
      <c r="C14" s="84"/>
      <c r="D14" s="84"/>
      <c r="E14" s="84"/>
      <c r="F14" s="84"/>
      <c r="G14" s="85"/>
    </row>
    <row r="15">
      <c r="A15" s="7" t="s">
        <v>140</v>
      </c>
      <c r="B15" s="13">
        <f>Prefactibilidad!D5</f>
        <v>627147</v>
      </c>
      <c r="C15" s="13">
        <f>B15*30%</f>
        <v>188144.1</v>
      </c>
      <c r="D15" s="13">
        <f>B15*30%</f>
        <v>188144.1</v>
      </c>
      <c r="E15" s="13">
        <f t="shared" ref="E15:E16" si="5">B15*25%</f>
        <v>156786.75</v>
      </c>
      <c r="F15" s="13">
        <f>B15*15%</f>
        <v>94072.05</v>
      </c>
      <c r="G15" s="72">
        <v>0.0</v>
      </c>
    </row>
    <row r="16">
      <c r="A16" s="7" t="s">
        <v>142</v>
      </c>
      <c r="B16" s="13">
        <f>Prefactibilidad!D6</f>
        <v>1106730</v>
      </c>
      <c r="C16" s="13">
        <v>0.0</v>
      </c>
      <c r="D16" s="13">
        <f>B16*25%</f>
        <v>276682.5</v>
      </c>
      <c r="E16" s="13">
        <f t="shared" si="5"/>
        <v>276682.5</v>
      </c>
      <c r="F16" s="13">
        <f>B16*25%</f>
        <v>276682.5</v>
      </c>
      <c r="G16" s="72">
        <f>B16*25%</f>
        <v>276682.5</v>
      </c>
    </row>
    <row r="17">
      <c r="A17" s="7" t="s">
        <v>143</v>
      </c>
      <c r="B17" s="13">
        <f>Prefactibilidad!D7</f>
        <v>707077.5</v>
      </c>
      <c r="C17" s="13">
        <v>0.0</v>
      </c>
      <c r="D17" s="13">
        <v>0.0</v>
      </c>
      <c r="E17" s="13">
        <v>0.0</v>
      </c>
      <c r="F17" s="13">
        <f>B17*35%</f>
        <v>247477.125</v>
      </c>
      <c r="G17" s="72">
        <f>B17*65%</f>
        <v>459600.375</v>
      </c>
    </row>
    <row r="18">
      <c r="A18" s="59" t="s">
        <v>241</v>
      </c>
      <c r="B18" s="73">
        <f t="shared" ref="B18:G18" si="6">SUM(B15:B17)</f>
        <v>2440954.5</v>
      </c>
      <c r="C18" s="73">
        <f t="shared" si="6"/>
        <v>188144.1</v>
      </c>
      <c r="D18" s="73">
        <f t="shared" si="6"/>
        <v>464826.6</v>
      </c>
      <c r="E18" s="73">
        <f t="shared" si="6"/>
        <v>433469.25</v>
      </c>
      <c r="F18" s="73">
        <f t="shared" si="6"/>
        <v>618231.675</v>
      </c>
      <c r="G18" s="74">
        <f t="shared" si="6"/>
        <v>736282.875</v>
      </c>
    </row>
    <row r="19">
      <c r="A19" s="7"/>
      <c r="B19" s="13"/>
      <c r="C19" s="13"/>
      <c r="D19" s="13"/>
      <c r="E19" s="13"/>
      <c r="F19" s="13"/>
      <c r="G19" s="72"/>
    </row>
    <row r="20">
      <c r="A20" s="15" t="s">
        <v>242</v>
      </c>
      <c r="B20" s="84"/>
      <c r="C20" s="84"/>
      <c r="D20" s="84"/>
      <c r="E20" s="84"/>
      <c r="F20" s="84"/>
      <c r="G20" s="85"/>
    </row>
    <row r="21" ht="15.75" customHeight="1">
      <c r="A21" s="59" t="s">
        <v>243</v>
      </c>
      <c r="B21" s="73">
        <f t="shared" ref="B21:G21" si="7">B18-B12</f>
        <v>62890.29759</v>
      </c>
      <c r="C21" s="73">
        <f t="shared" si="7"/>
        <v>-331921.5176</v>
      </c>
      <c r="D21" s="73">
        <f t="shared" si="7"/>
        <v>-164919.0149</v>
      </c>
      <c r="E21" s="73">
        <f t="shared" si="7"/>
        <v>-277939.9878</v>
      </c>
      <c r="F21" s="73">
        <f t="shared" si="7"/>
        <v>143263.2116</v>
      </c>
      <c r="G21" s="74">
        <f t="shared" si="7"/>
        <v>694407.6062</v>
      </c>
    </row>
    <row r="22" ht="15.75" customHeight="1">
      <c r="A22" s="59" t="s">
        <v>244</v>
      </c>
      <c r="B22" s="73">
        <f>SUM(C21:G21)</f>
        <v>62890.29759</v>
      </c>
      <c r="C22" s="73">
        <f>C21</f>
        <v>-331921.5176</v>
      </c>
      <c r="D22" s="73">
        <f t="shared" ref="D22:G22" si="8">C22+D21</f>
        <v>-496840.5324</v>
      </c>
      <c r="E22" s="73">
        <f t="shared" si="8"/>
        <v>-774780.5202</v>
      </c>
      <c r="F22" s="73">
        <f t="shared" si="8"/>
        <v>-631517.3086</v>
      </c>
      <c r="G22" s="74">
        <f t="shared" si="8"/>
        <v>62890.29759</v>
      </c>
    </row>
    <row r="23" ht="15.75" customHeight="1">
      <c r="A23" s="7"/>
      <c r="B23" s="13"/>
      <c r="C23" s="13"/>
      <c r="D23" s="13"/>
      <c r="E23" s="13"/>
      <c r="F23" s="13"/>
      <c r="G23" s="72"/>
    </row>
    <row r="24" ht="15.75" customHeight="1">
      <c r="A24" s="15" t="s">
        <v>245</v>
      </c>
      <c r="B24" s="84"/>
      <c r="C24" s="84"/>
      <c r="D24" s="84"/>
      <c r="E24" s="84"/>
      <c r="F24" s="84"/>
      <c r="G24" s="85"/>
    </row>
    <row r="25" ht="15.75" customHeight="1">
      <c r="A25" s="59" t="s">
        <v>246</v>
      </c>
      <c r="B25" s="73">
        <f>SUM(C21:G21)</f>
        <v>62890.29759</v>
      </c>
      <c r="C25" s="73"/>
      <c r="D25" s="73"/>
      <c r="E25" s="73"/>
      <c r="F25" s="73"/>
      <c r="G25" s="74"/>
    </row>
    <row r="26" ht="15.75" customHeight="1">
      <c r="A26" s="59" t="s">
        <v>16</v>
      </c>
      <c r="B26" s="73">
        <f>-MIN(C22:G22)</f>
        <v>774780.5202</v>
      </c>
      <c r="C26" s="73"/>
      <c r="D26" s="73"/>
      <c r="E26" s="73"/>
      <c r="F26" s="73"/>
      <c r="G26" s="74"/>
    </row>
    <row r="27" ht="15.75" customHeight="1">
      <c r="A27" s="59" t="s">
        <v>247</v>
      </c>
      <c r="B27" s="86">
        <f>IFERROR(B25/B26,0)</f>
        <v>0.08117175891</v>
      </c>
      <c r="C27" s="82"/>
      <c r="D27" s="82"/>
      <c r="E27" s="82"/>
      <c r="F27" s="82"/>
      <c r="G27" s="87"/>
    </row>
    <row r="28" ht="15.75" customHeight="1">
      <c r="A28" s="7" t="s">
        <v>248</v>
      </c>
      <c r="B28" s="14">
        <f>Inputs!$C$60</f>
        <v>0.12</v>
      </c>
      <c r="C28" s="8"/>
      <c r="D28" s="8"/>
      <c r="E28" s="8"/>
      <c r="F28" s="8"/>
      <c r="G28" s="9"/>
    </row>
    <row r="29" ht="15.75" customHeight="1">
      <c r="A29" s="59" t="s">
        <v>18</v>
      </c>
      <c r="B29" s="73">
        <f t="array" ref="B29">C21+NPV(B28,D21:G21)</f>
        <v>-157462.1828</v>
      </c>
      <c r="C29" s="82"/>
      <c r="D29" s="82"/>
      <c r="E29" s="82"/>
      <c r="F29" s="82"/>
      <c r="G29" s="87"/>
    </row>
    <row r="30" ht="15.75" customHeight="1">
      <c r="A30" s="64" t="s">
        <v>20</v>
      </c>
      <c r="B30" s="88">
        <f>IRR(C21:G21)</f>
        <v>0.02720894403</v>
      </c>
      <c r="C30" s="89"/>
      <c r="D30" s="89"/>
      <c r="E30" s="89"/>
      <c r="F30" s="89"/>
      <c r="G30" s="90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3" width="18.0"/>
    <col customWidth="1" min="4" max="4" width="16.0"/>
    <col customWidth="1" min="5" max="7" width="18.0"/>
    <col customWidth="1" min="8" max="8" width="16.0"/>
    <col customWidth="1" min="9" max="9" width="18.0"/>
    <col customWidth="1" min="10" max="10" width="32.0"/>
    <col customWidth="1" min="11" max="26" width="8.63"/>
  </cols>
  <sheetData>
    <row r="1">
      <c r="A1" s="67" t="s">
        <v>249</v>
      </c>
      <c r="B1" s="68"/>
      <c r="C1" s="68"/>
      <c r="D1" s="68"/>
      <c r="E1" s="68"/>
      <c r="F1" s="68"/>
      <c r="G1" s="68"/>
      <c r="H1" s="68"/>
      <c r="I1" s="68"/>
      <c r="J1" s="69"/>
    </row>
    <row r="2">
      <c r="A2" s="10" t="s">
        <v>250</v>
      </c>
      <c r="B2" s="11" t="s">
        <v>251</v>
      </c>
      <c r="C2" s="11" t="s">
        <v>252</v>
      </c>
      <c r="D2" s="11" t="s">
        <v>253</v>
      </c>
      <c r="E2" s="11" t="s">
        <v>254</v>
      </c>
      <c r="F2" s="11" t="s">
        <v>255</v>
      </c>
      <c r="G2" s="11" t="s">
        <v>256</v>
      </c>
      <c r="H2" s="11" t="s">
        <v>257</v>
      </c>
      <c r="I2" s="11" t="s">
        <v>258</v>
      </c>
      <c r="J2" s="12" t="s">
        <v>259</v>
      </c>
    </row>
    <row r="3">
      <c r="A3" s="7" t="s">
        <v>260</v>
      </c>
      <c r="B3" s="13">
        <f>Inputs!$C$30</f>
        <v>2900</v>
      </c>
      <c r="C3" s="13">
        <f>Inputs!$C$35</f>
        <v>1200</v>
      </c>
      <c r="D3" s="91">
        <f>Inputs!$C$58</f>
        <v>30</v>
      </c>
      <c r="E3" s="13">
        <f>(Inputs!$C$18*B3+Inputs!$C$29*Inputs!$C$31)*(Inputs!$C$51*(1+Inputs!$C$32)+Inputs!$C$52*(1+Inputs!$C$33)+Inputs!$C$53*(1+Inputs!$C$34))</f>
        <v>2440954.5</v>
      </c>
      <c r="F3" s="13">
        <f>(Inputs!$C$7*(1+Inputs!$C$12+Inputs!$C$11+Inputs!$C$13+Inputs!$C$14))+(((Inputs!$C$23-Inputs!$C$25)*C3+(Inputs!$C$24-Inputs!$C$23-Inputs!$C$26-Inputs!$C$27)*(C3*Inputs!$C$36/Inputs!$C$35)+(Inputs!$C$25+Inputs!$C$26+Inputs!$C$27)*(C3*Inputs!$C$37/Inputs!$C$35)))*(1+Inputs!$C$38+Inputs!$C$39+Inputs!$C$40+Inputs!$C$41+Inputs!$C$42+Inputs!$C$43+Inputs!$C$44)+(Inputs!$C$24*Inputs!$C$45)+(((((Inputs!$C$23-Inputs!$C$25)*C3+(Inputs!$C$24-Inputs!$C$23-Inputs!$C$26-Inputs!$C$27)*(C3*Inputs!$C$36/Inputs!$C$35)+(Inputs!$C$25+Inputs!$C$26+Inputs!$C$27)*(C3*Inputs!$C$37/Inputs!$C$35)))*(1+Inputs!$C$38+Inputs!$C$39+Inputs!$C$40+Inputs!$C$41+Inputs!$C$42+Inputs!$C$43+Inputs!$C$44)+(Inputs!$C$24*Inputs!$C$45))*Inputs!$C$47)+E3*(Inputs!$C$46+Inputs!$C$49+Inputs!$C$50)</f>
        <v>2379061.69</v>
      </c>
      <c r="G3" s="13">
        <f t="shared" ref="G3:G5" si="1">E3-F3</f>
        <v>61892.81008</v>
      </c>
      <c r="H3" s="14">
        <f t="shared" ref="H3:H5" si="2">G3/F3</f>
        <v>0.026015639</v>
      </c>
      <c r="I3" s="13">
        <f>MAX(0,F3-(E3*(Inputs!$C$51*Inputs!$C$54+Inputs!$C$52*Inputs!$C$55+Inputs!$C$53*Inputs!$C$56)))</f>
        <v>609369.6774</v>
      </c>
      <c r="J3" s="9" t="s">
        <v>261</v>
      </c>
    </row>
    <row r="4">
      <c r="A4" s="7" t="s">
        <v>262</v>
      </c>
      <c r="B4" s="13">
        <f>Inputs!$C$64</f>
        <v>3000</v>
      </c>
      <c r="C4" s="13">
        <f>Inputs!$C$65</f>
        <v>1300</v>
      </c>
      <c r="D4" s="91">
        <f>Inputs!$C$66</f>
        <v>30</v>
      </c>
      <c r="E4" s="13">
        <f>(Inputs!$C$18*B4+Inputs!$C$29*Inputs!$C$31)*(Inputs!$C$51*(1+Inputs!$C$32)+Inputs!$C$52*(1+Inputs!$C$33)+Inputs!$C$53*(1+Inputs!$C$34))</f>
        <v>2518965</v>
      </c>
      <c r="F4" s="13">
        <f>(Inputs!$C$7*(1+Inputs!$C$12+Inputs!$C$11+Inputs!$C$13+Inputs!$C$14))+(((Inputs!$C$23-Inputs!$C$25)*C4+(Inputs!$C$24-Inputs!$C$23-Inputs!$C$26-Inputs!$C$27)*(C4*Inputs!$C$36/Inputs!$C$35)+(Inputs!$C$25+Inputs!$C$26+Inputs!$C$27)*(C4*Inputs!$C$37/Inputs!$C$35)))*(1+Inputs!$C$38+Inputs!$C$39+Inputs!$C$40+Inputs!$C$41+Inputs!$C$42+Inputs!$C$43+Inputs!$C$44)+(Inputs!$C$24*Inputs!$C$45)+(((((Inputs!$C$23-Inputs!$C$25)*C4+(Inputs!$C$24-Inputs!$C$23-Inputs!$C$26-Inputs!$C$27)*(C4*Inputs!$C$36/Inputs!$C$35)+(Inputs!$C$25+Inputs!$C$26+Inputs!$C$27)*(C4*Inputs!$C$37/Inputs!$C$35)))*(1+Inputs!$C$38+Inputs!$C$39+Inputs!$C$40+Inputs!$C$41+Inputs!$C$42+Inputs!$C$43+Inputs!$C$44)+(Inputs!$C$24*Inputs!$C$45))*Inputs!$C$47)+E4*(Inputs!$C$46+Inputs!$C$49+Inputs!$C$50)</f>
        <v>2528672.365</v>
      </c>
      <c r="G4" s="13">
        <f t="shared" si="1"/>
        <v>-9707.364747</v>
      </c>
      <c r="H4" s="14">
        <f t="shared" si="2"/>
        <v>-0.003838917561</v>
      </c>
      <c r="I4" s="13">
        <f>MAX(0,F4-(E4*(Inputs!$C$51*Inputs!$C$54+Inputs!$C$52*Inputs!$C$55+Inputs!$C$53*Inputs!$C$56)))</f>
        <v>702422.7397</v>
      </c>
      <c r="J4" s="9" t="s">
        <v>263</v>
      </c>
    </row>
    <row r="5">
      <c r="A5" s="20" t="s">
        <v>264</v>
      </c>
      <c r="B5" s="92">
        <f>Inputs!$C$67</f>
        <v>3400</v>
      </c>
      <c r="C5" s="92">
        <f>Inputs!$C$68</f>
        <v>1200</v>
      </c>
      <c r="D5" s="93">
        <f>Inputs!$C$69</f>
        <v>24</v>
      </c>
      <c r="E5" s="92">
        <f>(Inputs!$C$18*B5+Inputs!$C$29*Inputs!$C$31)*(Inputs!$C$51*(1+Inputs!$C$32)+Inputs!$C$52*(1+Inputs!$C$33)+Inputs!$C$53*(1+Inputs!$C$34))</f>
        <v>2831007</v>
      </c>
      <c r="F5" s="92">
        <f>(Inputs!$C$7*(1+Inputs!$C$12+Inputs!$C$11+Inputs!$C$13+Inputs!$C$14))+(((Inputs!$C$23-Inputs!$C$25)*C5+(Inputs!$C$24-Inputs!$C$23-Inputs!$C$26-Inputs!$C$27)*(C5*Inputs!$C$36/Inputs!$C$35)+(Inputs!$C$25+Inputs!$C$26+Inputs!$C$27)*(C5*Inputs!$C$37/Inputs!$C$35)))*(1+Inputs!$C$38+Inputs!$C$39+Inputs!$C$40+Inputs!$C$41+Inputs!$C$42+Inputs!$C$43+Inputs!$C$44)+(Inputs!$C$24*Inputs!$C$45)+(((((Inputs!$C$23-Inputs!$C$25)*C5+(Inputs!$C$24-Inputs!$C$23-Inputs!$C$26-Inputs!$C$27)*(C5*Inputs!$C$36/Inputs!$C$35)+(Inputs!$C$25+Inputs!$C$26+Inputs!$C$27)*(C5*Inputs!$C$37/Inputs!$C$35)))*(1+Inputs!$C$38+Inputs!$C$39+Inputs!$C$40+Inputs!$C$41+Inputs!$C$42+Inputs!$C$43+Inputs!$C$44)+(Inputs!$C$24*Inputs!$C$45))*Inputs!$C$47)+E5*(Inputs!$C$46+Inputs!$C$49+Inputs!$C$50)</f>
        <v>2422747.57</v>
      </c>
      <c r="G5" s="92">
        <f t="shared" si="1"/>
        <v>408259.4301</v>
      </c>
      <c r="H5" s="94">
        <f t="shared" si="2"/>
        <v>0.1685109234</v>
      </c>
      <c r="I5" s="92">
        <f>MAX(0,F5-(E5*(Inputs!$C$51*Inputs!$C$54+Inputs!$C$52*Inputs!$C$55+Inputs!$C$53*Inputs!$C$56)))</f>
        <v>370267.4949</v>
      </c>
      <c r="J5" s="57" t="s">
        <v>265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6.0"/>
    <col customWidth="1" min="2" max="2" width="60.0"/>
    <col customWidth="1" min="3" max="3" width="48.0"/>
    <col customWidth="1" min="4" max="26" width="8.63"/>
  </cols>
  <sheetData>
    <row r="1">
      <c r="A1" s="33" t="s">
        <v>266</v>
      </c>
      <c r="B1" s="34" t="s">
        <v>267</v>
      </c>
      <c r="C1" s="35" t="s">
        <v>268</v>
      </c>
    </row>
    <row r="2">
      <c r="A2" s="7" t="s">
        <v>269</v>
      </c>
      <c r="B2" s="8" t="s">
        <v>270</v>
      </c>
      <c r="C2" s="9" t="s">
        <v>271</v>
      </c>
    </row>
    <row r="3">
      <c r="A3" s="7" t="s">
        <v>272</v>
      </c>
      <c r="B3" s="8" t="s">
        <v>273</v>
      </c>
      <c r="C3" s="9" t="s">
        <v>274</v>
      </c>
    </row>
    <row r="4">
      <c r="A4" s="7" t="s">
        <v>275</v>
      </c>
      <c r="B4" s="8" t="s">
        <v>276</v>
      </c>
      <c r="C4" s="9" t="s">
        <v>277</v>
      </c>
    </row>
    <row r="5">
      <c r="A5" s="7" t="s">
        <v>278</v>
      </c>
      <c r="B5" s="8" t="s">
        <v>279</v>
      </c>
      <c r="C5" s="9" t="s">
        <v>280</v>
      </c>
    </row>
    <row r="6">
      <c r="A6" s="7" t="s">
        <v>281</v>
      </c>
      <c r="B6" s="8" t="s">
        <v>282</v>
      </c>
      <c r="C6" s="9" t="s">
        <v>283</v>
      </c>
    </row>
    <row r="7">
      <c r="A7" s="20" t="s">
        <v>259</v>
      </c>
      <c r="B7" s="55" t="s">
        <v>284</v>
      </c>
      <c r="C7" s="57" t="s">
        <v>285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