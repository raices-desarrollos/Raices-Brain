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Google Drive\En curso\Capacitación\DPI\Postgrado\"/>
    </mc:Choice>
  </mc:AlternateContent>
  <xr:revisionPtr revIDLastSave="0" documentId="13_ncr:1_{E0BF32F8-A587-4DF1-AA5F-866B461EE4D0}" xr6:coauthVersionLast="47" xr6:coauthVersionMax="47" xr10:uidLastSave="{00000000-0000-0000-0000-000000000000}"/>
  <bookViews>
    <workbookView xWindow="-110" yWindow="-110" windowWidth="19420" windowHeight="10300" tabRatio="796" xr2:uid="{00000000-000D-0000-FFFF-FFFF00000000}"/>
  </bookViews>
  <sheets>
    <sheet name="PLAN DE NEGOCIOS 15%" sheetId="26" r:id="rId1"/>
    <sheet name="Caso de Negocio" sheetId="28" r:id="rId2"/>
    <sheet name="DATOS" sheetId="21" r:id="rId3"/>
  </sheets>
  <externalReferences>
    <externalReference r:id="rId4"/>
    <externalReference r:id="rId5"/>
  </externalReferences>
  <definedNames>
    <definedName name="_15_ago_95" localSheetId="0">#REF!</definedName>
    <definedName name="_15_ago_95">#REF!</definedName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Order1" hidden="1">0</definedName>
    <definedName name="_xlnm.Print_Area" localSheetId="0">'PLAN DE NEGOCIOS 15%'!$A$1:$L$225</definedName>
    <definedName name="JUNIO_11" localSheetId="0" hidden="1">#REF!</definedName>
    <definedName name="JUNIO_11" hidden="1">#REF!</definedName>
    <definedName name="JUNUIO_11" localSheetId="0">#REF!</definedName>
    <definedName name="JUNUIO_11">#REF!</definedName>
    <definedName name="kañfkñalsk" localSheetId="0" hidden="1">#REF!</definedName>
    <definedName name="kañfkñalsk" hidden="1">#REF!</definedName>
    <definedName name="lista" localSheetId="0" hidden="1">#REF!</definedName>
    <definedName name="lista" hidden="1">#REF!</definedName>
    <definedName name="NAdia" localSheetId="0" hidden="1">#REF!</definedName>
    <definedName name="NAdia" hidden="1">#REF!</definedName>
    <definedName name="por_credito" localSheetId="0">'[1]Flujo de Caja'!$Z$10</definedName>
    <definedName name="por_credito">'[2]Flujo de Caja'!$Z$10</definedName>
  </definedNames>
  <calcPr calcId="18102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37" i="21" l="1"/>
  <c r="D37" i="21"/>
  <c r="E37" i="21"/>
  <c r="F37" i="21"/>
  <c r="G37" i="21"/>
  <c r="C38" i="21"/>
  <c r="D38" i="21"/>
  <c r="E38" i="21"/>
  <c r="F38" i="21"/>
  <c r="G38" i="21"/>
  <c r="C39" i="21"/>
  <c r="D39" i="21"/>
  <c r="E39" i="21"/>
  <c r="F39" i="21"/>
  <c r="G39" i="21"/>
  <c r="B37" i="21"/>
  <c r="B38" i="21"/>
  <c r="B39" i="21"/>
  <c r="B41" i="21"/>
  <c r="B42" i="21"/>
  <c r="B43" i="21"/>
  <c r="B40" i="21"/>
  <c r="C43" i="21"/>
  <c r="D43" i="21"/>
  <c r="F43" i="21"/>
  <c r="G43" i="21"/>
  <c r="C41" i="21"/>
  <c r="D41" i="21"/>
  <c r="F41" i="21"/>
  <c r="G41" i="21"/>
  <c r="C42" i="21"/>
  <c r="D42" i="21"/>
  <c r="F42" i="21"/>
  <c r="G42" i="21"/>
  <c r="D40" i="21"/>
  <c r="F40" i="21"/>
  <c r="G40" i="21"/>
  <c r="C40" i="21"/>
  <c r="G9" i="26"/>
  <c r="E211" i="26"/>
  <c r="E212" i="26"/>
  <c r="D222" i="26"/>
  <c r="E222" i="26"/>
  <c r="F222" i="26"/>
  <c r="G222" i="26"/>
  <c r="C222" i="26"/>
  <c r="B221" i="26"/>
  <c r="B222" i="26"/>
  <c r="B220" i="26"/>
  <c r="C179" i="26"/>
  <c r="D179" i="26" s="1"/>
  <c r="B177" i="26"/>
  <c r="B178" i="26"/>
  <c r="B179" i="26"/>
  <c r="B180" i="26"/>
  <c r="B181" i="26"/>
  <c r="B182" i="26"/>
  <c r="B171" i="26"/>
  <c r="B172" i="26"/>
  <c r="B173" i="26"/>
  <c r="B174" i="26"/>
  <c r="B175" i="26"/>
  <c r="B176" i="26"/>
  <c r="B170" i="26"/>
  <c r="I50" i="26"/>
  <c r="J36" i="26"/>
  <c r="J45" i="26"/>
  <c r="J19" i="26"/>
  <c r="B142" i="26"/>
  <c r="J130" i="26"/>
  <c r="J125" i="26"/>
  <c r="J120" i="26"/>
  <c r="F122" i="26"/>
  <c r="F127" i="26" s="1"/>
  <c r="E189" i="26"/>
  <c r="F189" i="26"/>
  <c r="G189" i="26"/>
  <c r="H189" i="26"/>
  <c r="K165" i="26"/>
  <c r="E21" i="26"/>
  <c r="D85" i="26" l="1"/>
  <c r="F14" i="26" l="1"/>
  <c r="F32" i="26" s="1"/>
  <c r="F34" i="26" s="1"/>
  <c r="E123" i="26"/>
  <c r="E118" i="26" s="1"/>
  <c r="E68" i="26"/>
  <c r="E23" i="26" s="1"/>
  <c r="F29" i="26"/>
  <c r="F67" i="26" s="1"/>
  <c r="F69" i="26" s="1"/>
  <c r="G123" i="26"/>
  <c r="G128" i="26" s="1"/>
  <c r="H123" i="26"/>
  <c r="E29" i="26"/>
  <c r="E67" i="26" s="1"/>
  <c r="G29" i="26"/>
  <c r="G67" i="26" s="1"/>
  <c r="C73" i="26"/>
  <c r="E14" i="26"/>
  <c r="E32" i="26" s="1"/>
  <c r="E34" i="26" s="1"/>
  <c r="G14" i="26"/>
  <c r="G32" i="26" s="1"/>
  <c r="G34" i="26" s="1"/>
  <c r="F23" i="26"/>
  <c r="D52" i="26"/>
  <c r="D168" i="26" s="1"/>
  <c r="D170" i="26"/>
  <c r="E170" i="26"/>
  <c r="F170" i="26"/>
  <c r="C129" i="26"/>
  <c r="G170" i="26"/>
  <c r="H170" i="26"/>
  <c r="A62" i="26"/>
  <c r="C10" i="21"/>
  <c r="G18" i="28"/>
  <c r="D84" i="26"/>
  <c r="A52" i="26"/>
  <c r="D86" i="26"/>
  <c r="B84" i="26"/>
  <c r="G46" i="28"/>
  <c r="G47" i="28"/>
  <c r="G48" i="28"/>
  <c r="B46" i="28"/>
  <c r="B47" i="28"/>
  <c r="B48" i="28"/>
  <c r="B45" i="28"/>
  <c r="B12" i="28"/>
  <c r="B13" i="28"/>
  <c r="E8" i="28"/>
  <c r="B8" i="28"/>
  <c r="E31" i="28"/>
  <c r="G27" i="28"/>
  <c r="G29" i="28"/>
  <c r="G37" i="28"/>
  <c r="C21" i="21"/>
  <c r="D13" i="28" s="1"/>
  <c r="C20" i="21"/>
  <c r="D12" i="28" s="1"/>
  <c r="B10" i="21"/>
  <c r="C12" i="21"/>
  <c r="C6" i="21"/>
  <c r="D8" i="28" s="1"/>
  <c r="B24" i="28"/>
  <c r="D31" i="28"/>
  <c r="E28" i="28"/>
  <c r="E30" i="28" s="1"/>
  <c r="C18" i="28"/>
  <c r="G23" i="28"/>
  <c r="B243" i="26"/>
  <c r="B242" i="26"/>
  <c r="C241" i="26"/>
  <c r="B241" i="26"/>
  <c r="C240" i="26"/>
  <c r="B240" i="26"/>
  <c r="B239" i="26"/>
  <c r="B201" i="26"/>
  <c r="B237" i="26" s="1"/>
  <c r="F200" i="26"/>
  <c r="F236" i="26" s="1"/>
  <c r="B200" i="26"/>
  <c r="I200" i="26"/>
  <c r="I236" i="26" s="1"/>
  <c r="H200" i="26"/>
  <c r="H236" i="26" s="1"/>
  <c r="D189" i="26"/>
  <c r="D200" i="26" s="1"/>
  <c r="D236" i="26" s="1"/>
  <c r="B194" i="26"/>
  <c r="G200" i="26"/>
  <c r="G236" i="26" s="1"/>
  <c r="E200" i="26"/>
  <c r="E236" i="26" s="1"/>
  <c r="C189" i="26"/>
  <c r="C200" i="26" s="1"/>
  <c r="C236" i="26" s="1"/>
  <c r="B185" i="26"/>
  <c r="B202" i="26" s="1"/>
  <c r="B238" i="26" s="1"/>
  <c r="B183" i="26"/>
  <c r="K166" i="26"/>
  <c r="F164" i="26"/>
  <c r="G164" i="26" s="1"/>
  <c r="C155" i="26"/>
  <c r="E140" i="26"/>
  <c r="E149" i="26" s="1"/>
  <c r="B139" i="26"/>
  <c r="B138" i="26"/>
  <c r="B137" i="26"/>
  <c r="J136" i="26"/>
  <c r="I136" i="26"/>
  <c r="E136" i="26"/>
  <c r="H117" i="26"/>
  <c r="H122" i="26" s="1"/>
  <c r="H127" i="26" s="1"/>
  <c r="B98" i="26"/>
  <c r="B93" i="26"/>
  <c r="G31" i="26"/>
  <c r="F31" i="26"/>
  <c r="E31" i="26"/>
  <c r="D31" i="26"/>
  <c r="G119" i="26" l="1"/>
  <c r="G118" i="26"/>
  <c r="G124" i="26"/>
  <c r="G125" i="26" s="1"/>
  <c r="G129" i="26"/>
  <c r="G130" i="26" s="1"/>
  <c r="K170" i="26"/>
  <c r="D63" i="26"/>
  <c r="H129" i="26"/>
  <c r="E128" i="26"/>
  <c r="H124" i="26"/>
  <c r="H125" i="26" s="1"/>
  <c r="G23" i="26"/>
  <c r="G8" i="28"/>
  <c r="C168" i="26"/>
  <c r="F112" i="26"/>
  <c r="E69" i="26"/>
  <c r="F123" i="26"/>
  <c r="H118" i="26"/>
  <c r="H120" i="26" s="1"/>
  <c r="H128" i="26"/>
  <c r="G69" i="26"/>
  <c r="F125" i="26"/>
  <c r="G120" i="26" l="1"/>
  <c r="H130" i="26"/>
  <c r="F128" i="26"/>
  <c r="F130" i="26" s="1"/>
  <c r="F118" i="26"/>
  <c r="F120" i="26" s="1"/>
  <c r="C5" i="21" l="1"/>
  <c r="D7" i="28" s="1"/>
  <c r="D21" i="26"/>
  <c r="D29" i="26" s="1"/>
  <c r="C13" i="26"/>
  <c r="D62" i="26" s="1"/>
  <c r="D14" i="26"/>
  <c r="D15" i="26" s="1"/>
  <c r="C180" i="26"/>
  <c r="D180" i="26" s="1"/>
  <c r="J46" i="26" l="1"/>
  <c r="E129" i="26"/>
  <c r="E124" i="26"/>
  <c r="D67" i="26"/>
  <c r="D69" i="26" s="1"/>
  <c r="D70" i="26" s="1"/>
  <c r="E119" i="26"/>
  <c r="D32" i="26"/>
  <c r="D34" i="26" s="1"/>
  <c r="D35" i="26" s="1"/>
  <c r="D23" i="26"/>
  <c r="C11" i="21"/>
  <c r="C13" i="21" s="1"/>
  <c r="E7" i="28"/>
  <c r="G7" i="28" s="1"/>
  <c r="J35" i="26" l="1"/>
  <c r="D25" i="26"/>
  <c r="D27" i="26" s="1"/>
  <c r="D57" i="26" s="1"/>
  <c r="D39" i="26"/>
  <c r="D37" i="26"/>
  <c r="J37" i="26" s="1"/>
  <c r="D40" i="26"/>
  <c r="C169" i="26"/>
  <c r="C19" i="28"/>
  <c r="G19" i="28" s="1"/>
  <c r="D38" i="26"/>
  <c r="D26" i="28"/>
  <c r="E120" i="26"/>
  <c r="E121" i="26" s="1"/>
  <c r="D72" i="26"/>
  <c r="D78" i="26"/>
  <c r="D98" i="26"/>
  <c r="D73" i="26"/>
  <c r="C22" i="21"/>
  <c r="C7" i="21"/>
  <c r="D9" i="28" s="1"/>
  <c r="D47" i="26"/>
  <c r="C181" i="26" s="1"/>
  <c r="D181" i="26" s="1"/>
  <c r="E125" i="26"/>
  <c r="E126" i="26" s="1"/>
  <c r="D28" i="28"/>
  <c r="D30" i="28"/>
  <c r="E130" i="26"/>
  <c r="E131" i="26" s="1"/>
  <c r="D95" i="26" l="1"/>
  <c r="D44" i="26"/>
  <c r="C174" i="26"/>
  <c r="D174" i="26" s="1"/>
  <c r="J40" i="26"/>
  <c r="J47" i="26"/>
  <c r="C173" i="26"/>
  <c r="F173" i="26" s="1"/>
  <c r="J39" i="26"/>
  <c r="C172" i="26"/>
  <c r="F172" i="26" s="1"/>
  <c r="J38" i="26"/>
  <c r="D41" i="26"/>
  <c r="J41" i="26" s="1"/>
  <c r="H169" i="26"/>
  <c r="E169" i="26"/>
  <c r="G169" i="26"/>
  <c r="F169" i="26"/>
  <c r="I131" i="26"/>
  <c r="C30" i="28"/>
  <c r="D169" i="26"/>
  <c r="I121" i="26"/>
  <c r="E133" i="26"/>
  <c r="C171" i="26"/>
  <c r="I126" i="26"/>
  <c r="C28" i="28"/>
  <c r="F28" i="28" s="1"/>
  <c r="G28" i="28" s="1"/>
  <c r="D172" i="26" l="1"/>
  <c r="J44" i="26"/>
  <c r="C178" i="26"/>
  <c r="D178" i="26" s="1"/>
  <c r="E174" i="26"/>
  <c r="F174" i="26" s="1"/>
  <c r="G174" i="26" s="1"/>
  <c r="D173" i="26"/>
  <c r="G173" i="26"/>
  <c r="D42" i="26"/>
  <c r="C176" i="26" s="1"/>
  <c r="H173" i="26"/>
  <c r="E173" i="26"/>
  <c r="G172" i="26"/>
  <c r="C175" i="26"/>
  <c r="D175" i="26" s="1"/>
  <c r="H172" i="26"/>
  <c r="E172" i="26"/>
  <c r="D171" i="26"/>
  <c r="K169" i="26"/>
  <c r="C35" i="28"/>
  <c r="G35" i="28" s="1"/>
  <c r="E139" i="26"/>
  <c r="I133" i="26"/>
  <c r="I134" i="26" s="1"/>
  <c r="I139" i="26"/>
  <c r="F30" i="28"/>
  <c r="G30" i="28" s="1"/>
  <c r="E138" i="26"/>
  <c r="I138" i="26"/>
  <c r="H171" i="26"/>
  <c r="E171" i="26"/>
  <c r="F171" i="26"/>
  <c r="G171" i="26"/>
  <c r="E137" i="26"/>
  <c r="J121" i="26"/>
  <c r="J137" i="26" s="1"/>
  <c r="C26" i="28"/>
  <c r="F26" i="28" s="1"/>
  <c r="I137" i="26"/>
  <c r="J131" i="26"/>
  <c r="J126" i="26"/>
  <c r="J138" i="26" s="1"/>
  <c r="I191" i="26" s="1"/>
  <c r="D43" i="26" l="1"/>
  <c r="C43" i="26" s="1"/>
  <c r="K173" i="26"/>
  <c r="J42" i="26"/>
  <c r="H174" i="26"/>
  <c r="K174" i="26" s="1"/>
  <c r="F175" i="26"/>
  <c r="G175" i="26"/>
  <c r="E175" i="26"/>
  <c r="K172" i="26"/>
  <c r="H175" i="26"/>
  <c r="G176" i="26"/>
  <c r="F176" i="26"/>
  <c r="H176" i="26"/>
  <c r="E176" i="26"/>
  <c r="D176" i="26"/>
  <c r="K171" i="26"/>
  <c r="C191" i="26"/>
  <c r="I190" i="26"/>
  <c r="J139" i="26"/>
  <c r="I192" i="26" s="1"/>
  <c r="J133" i="26"/>
  <c r="J134" i="26" s="1"/>
  <c r="C190" i="26"/>
  <c r="I141" i="26"/>
  <c r="E141" i="26"/>
  <c r="C137" i="26" s="1"/>
  <c r="G26" i="28"/>
  <c r="F25" i="28"/>
  <c r="G25" i="28" s="1"/>
  <c r="C36" i="28"/>
  <c r="D48" i="26" l="1"/>
  <c r="D49" i="26" s="1"/>
  <c r="D50" i="26" s="1"/>
  <c r="D51" i="26" s="1"/>
  <c r="D53" i="26" s="1"/>
  <c r="C20" i="28"/>
  <c r="G20" i="28" s="1"/>
  <c r="J43" i="26"/>
  <c r="K175" i="26"/>
  <c r="K176" i="26"/>
  <c r="I193" i="26"/>
  <c r="G36" i="28"/>
  <c r="F34" i="28"/>
  <c r="G34" i="28" s="1"/>
  <c r="C192" i="26"/>
  <c r="G192" i="26" s="1"/>
  <c r="H192" i="26" s="1"/>
  <c r="K192" i="26" s="1"/>
  <c r="J141" i="26"/>
  <c r="E148" i="26" s="1"/>
  <c r="E150" i="26" s="1"/>
  <c r="F210" i="26" s="1"/>
  <c r="E224" i="26" s="1"/>
  <c r="E41" i="21" s="1"/>
  <c r="C140" i="26"/>
  <c r="C139" i="26"/>
  <c r="E191" i="26"/>
  <c r="F191" i="26" s="1"/>
  <c r="D190" i="26"/>
  <c r="D193" i="26" s="1"/>
  <c r="C138" i="26"/>
  <c r="C193" i="26" l="1"/>
  <c r="C182" i="26"/>
  <c r="D182" i="26" s="1"/>
  <c r="E182" i="26" s="1"/>
  <c r="F182" i="26" s="1"/>
  <c r="G182" i="26" s="1"/>
  <c r="H182" i="26" s="1"/>
  <c r="C21" i="28"/>
  <c r="G21" i="28" s="1"/>
  <c r="C49" i="26"/>
  <c r="J48" i="26"/>
  <c r="J49" i="26"/>
  <c r="J50" i="26" s="1"/>
  <c r="J51" i="26" s="1"/>
  <c r="G191" i="26"/>
  <c r="H191" i="26" s="1"/>
  <c r="K191" i="26" s="1"/>
  <c r="E190" i="26"/>
  <c r="C22" i="28"/>
  <c r="G22" i="28" s="1"/>
  <c r="D103" i="26"/>
  <c r="C183" i="26"/>
  <c r="C185" i="26" l="1"/>
  <c r="C202" i="26" s="1"/>
  <c r="C238" i="26" s="1"/>
  <c r="F190" i="26"/>
  <c r="E193" i="26"/>
  <c r="B184" i="26"/>
  <c r="F110" i="26"/>
  <c r="D94" i="26"/>
  <c r="C16" i="21"/>
  <c r="D93" i="26" l="1"/>
  <c r="C95" i="26" s="1"/>
  <c r="C100" i="26" s="1"/>
  <c r="D100" i="26" s="1"/>
  <c r="D183" i="26"/>
  <c r="F183" i="26"/>
  <c r="F185" i="26" s="1"/>
  <c r="H183" i="26"/>
  <c r="G183" i="26"/>
  <c r="G185" i="26" s="1"/>
  <c r="E183" i="26"/>
  <c r="E185" i="26" s="1"/>
  <c r="D79" i="26"/>
  <c r="C17" i="21"/>
  <c r="D59" i="26"/>
  <c r="D58" i="26"/>
  <c r="G190" i="26"/>
  <c r="F193" i="26"/>
  <c r="H185" i="26" l="1"/>
  <c r="H202" i="26" s="1"/>
  <c r="H238" i="26" s="1"/>
  <c r="K184" i="26"/>
  <c r="E202" i="26"/>
  <c r="E238" i="26" s="1"/>
  <c r="E186" i="26"/>
  <c r="G202" i="26"/>
  <c r="G238" i="26" s="1"/>
  <c r="G186" i="26"/>
  <c r="F202" i="26"/>
  <c r="F238" i="26" s="1"/>
  <c r="F186" i="26"/>
  <c r="D185" i="26"/>
  <c r="D202" i="26" s="1"/>
  <c r="K183" i="26"/>
  <c r="H190" i="26"/>
  <c r="G193" i="26"/>
  <c r="C94" i="26"/>
  <c r="C99" i="26" s="1"/>
  <c r="D99" i="26" s="1"/>
  <c r="D102" i="26" s="1"/>
  <c r="D104" i="26" s="1"/>
  <c r="D74" i="26" s="1"/>
  <c r="D75" i="26" s="1"/>
  <c r="I238" i="26" l="1"/>
  <c r="H186" i="26"/>
  <c r="D186" i="26"/>
  <c r="K186" i="26" s="1"/>
  <c r="D238" i="26"/>
  <c r="K185" i="26"/>
  <c r="D80" i="26"/>
  <c r="C75" i="26"/>
  <c r="B196" i="26" s="1"/>
  <c r="G194" i="26" s="1"/>
  <c r="G195" i="26" s="1"/>
  <c r="G201" i="26" s="1"/>
  <c r="H193" i="26"/>
  <c r="K190" i="26"/>
  <c r="H194" i="26" l="1"/>
  <c r="H195" i="26" s="1"/>
  <c r="H201" i="26" s="1"/>
  <c r="H237" i="26" s="1"/>
  <c r="G237" i="26"/>
  <c r="G203" i="26"/>
  <c r="G242" i="26" s="1"/>
  <c r="C24" i="28"/>
  <c r="F111" i="26"/>
  <c r="D82" i="26"/>
  <c r="D87" i="26" s="1"/>
  <c r="C23" i="21"/>
  <c r="C194" i="26"/>
  <c r="C195" i="26" s="1"/>
  <c r="I194" i="26"/>
  <c r="I195" i="26" s="1"/>
  <c r="D194" i="26"/>
  <c r="D195" i="26" s="1"/>
  <c r="D201" i="26" s="1"/>
  <c r="E194" i="26"/>
  <c r="E195" i="26" s="1"/>
  <c r="E201" i="26" s="1"/>
  <c r="F194" i="26"/>
  <c r="F195" i="26" s="1"/>
  <c r="K193" i="26"/>
  <c r="H203" i="26" l="1"/>
  <c r="H242" i="26" s="1"/>
  <c r="F196" i="26"/>
  <c r="K194" i="26"/>
  <c r="F114" i="26"/>
  <c r="E142" i="26" s="1"/>
  <c r="E144" i="26" s="1"/>
  <c r="D60" i="26"/>
  <c r="I201" i="26"/>
  <c r="F201" i="26"/>
  <c r="G24" i="28"/>
  <c r="F17" i="28"/>
  <c r="D24" i="28" s="1"/>
  <c r="D88" i="26"/>
  <c r="C27" i="21" s="1"/>
  <c r="C26" i="21"/>
  <c r="E237" i="26"/>
  <c r="E203" i="26"/>
  <c r="E152" i="26" l="1"/>
  <c r="F209" i="26"/>
  <c r="E223" i="26" s="1"/>
  <c r="E40" i="21" s="1"/>
  <c r="I196" i="26"/>
  <c r="D196" i="26"/>
  <c r="D237" i="26"/>
  <c r="D242" i="26" s="1"/>
  <c r="C252" i="26" s="1"/>
  <c r="D203" i="26"/>
  <c r="D204" i="26" s="1"/>
  <c r="E204" i="26" s="1"/>
  <c r="E242" i="26"/>
  <c r="C251" i="26" s="1"/>
  <c r="I237" i="26"/>
  <c r="I203" i="26"/>
  <c r="I242" i="26" s="1"/>
  <c r="F237" i="26"/>
  <c r="F203" i="26"/>
  <c r="F242" i="26" s="1"/>
  <c r="D20" i="28"/>
  <c r="D19" i="28"/>
  <c r="D21" i="28"/>
  <c r="D23" i="28"/>
  <c r="G17" i="28"/>
  <c r="F32" i="28"/>
  <c r="D18" i="28"/>
  <c r="D22" i="28"/>
  <c r="E196" i="26"/>
  <c r="K195" i="26"/>
  <c r="C201" i="26"/>
  <c r="H196" i="26"/>
  <c r="G196" i="26"/>
  <c r="E153" i="26" l="1"/>
  <c r="E154" i="26"/>
  <c r="C152" i="26"/>
  <c r="E155" i="26"/>
  <c r="F204" i="26"/>
  <c r="G204" i="26" s="1"/>
  <c r="H204" i="26" s="1"/>
  <c r="I204" i="26" s="1"/>
  <c r="C203" i="26"/>
  <c r="C237" i="26"/>
  <c r="F38" i="28"/>
  <c r="G32" i="28"/>
  <c r="D243" i="26"/>
  <c r="C214" i="26"/>
  <c r="C213" i="26"/>
  <c r="E243" i="26" l="1"/>
  <c r="E156" i="26"/>
  <c r="F212" i="26" s="1"/>
  <c r="E226" i="26" s="1"/>
  <c r="E43" i="21" s="1"/>
  <c r="F211" i="26"/>
  <c r="E225" i="26" s="1"/>
  <c r="E42" i="21" s="1"/>
  <c r="F243" i="26"/>
  <c r="G243" i="26" s="1"/>
  <c r="H243" i="26" s="1"/>
  <c r="I243" i="26" s="1"/>
  <c r="G38" i="28"/>
  <c r="F39" i="28" s="1"/>
  <c r="D41" i="28"/>
  <c r="D40" i="28"/>
  <c r="G40" i="28" s="1"/>
  <c r="C204" i="26"/>
  <c r="C243" i="26" s="1"/>
  <c r="C242" i="26"/>
  <c r="C209" i="26" l="1"/>
  <c r="C247" i="26"/>
  <c r="C248" i="26"/>
  <c r="C210" i="26"/>
  <c r="C211" i="26" s="1"/>
  <c r="G41" i="28"/>
  <c r="F42" i="28"/>
  <c r="C249" i="26" l="1"/>
  <c r="G42" i="28"/>
  <c r="E43" i="28"/>
  <c r="G43" i="28" s="1"/>
</calcChain>
</file>

<file path=xl/sharedStrings.xml><?xml version="1.0" encoding="utf-8"?>
<sst xmlns="http://schemas.openxmlformats.org/spreadsheetml/2006/main" count="264" uniqueCount="217">
  <si>
    <t>TERRENO</t>
  </si>
  <si>
    <t>UBICACIÓN</t>
  </si>
  <si>
    <t>U$S</t>
  </si>
  <si>
    <t>Superficie del Terreno (por título)</t>
  </si>
  <si>
    <t>FOT</t>
  </si>
  <si>
    <t>DISTRIBUCIÓN</t>
  </si>
  <si>
    <t>Superficie COMÚN cubiertas</t>
  </si>
  <si>
    <r>
      <t xml:space="preserve">Superficie cubierta </t>
    </r>
    <r>
      <rPr>
        <b/>
        <sz val="12"/>
        <color rgb="FFFF0000"/>
        <rFont val="Calibri"/>
        <family val="2"/>
        <scheme val="minor"/>
      </rPr>
      <t>TOTAL (CUB + SEMICUB)</t>
    </r>
  </si>
  <si>
    <t>Superficie TOTAL DEL PROYECTO</t>
  </si>
  <si>
    <t>CASH POR EL TERRENO</t>
  </si>
  <si>
    <t>M2 POR EL TERRENO</t>
  </si>
  <si>
    <t>PRECIO DEL TERRENO</t>
  </si>
  <si>
    <t>Inc. de la tierra  u$s/m2 vendibles</t>
  </si>
  <si>
    <t>COSTOS OBRA</t>
  </si>
  <si>
    <t>Costo en u$s/m2</t>
  </si>
  <si>
    <t>Costo por Sector</t>
  </si>
  <si>
    <t>Costo total de obra</t>
  </si>
  <si>
    <t>Proyecto</t>
  </si>
  <si>
    <t>Dirección</t>
  </si>
  <si>
    <t>Gerenciamiento</t>
  </si>
  <si>
    <t>Asesores</t>
  </si>
  <si>
    <t>Desarrollo</t>
  </si>
  <si>
    <t>Marketing y promocion</t>
  </si>
  <si>
    <t>IVA promedio</t>
  </si>
  <si>
    <t>VENTA</t>
  </si>
  <si>
    <t>preventa</t>
  </si>
  <si>
    <t>viviendas</t>
  </si>
  <si>
    <t>USD/m2 promedio</t>
  </si>
  <si>
    <t>m2 para la venta</t>
  </si>
  <si>
    <t>OBRA</t>
  </si>
  <si>
    <t>TERMINADO</t>
  </si>
  <si>
    <t>SALDO parcial de VENTAS</t>
  </si>
  <si>
    <t>m2</t>
  </si>
  <si>
    <t>SALDO VENTAS</t>
  </si>
  <si>
    <t>% RENTABILIDAD</t>
  </si>
  <si>
    <t>TIERRA</t>
  </si>
  <si>
    <t>PLAN DE NEGOCIOS</t>
  </si>
  <si>
    <t>Inversion</t>
  </si>
  <si>
    <t>Total Inversion</t>
  </si>
  <si>
    <t>Incremental</t>
  </si>
  <si>
    <t>% venta</t>
  </si>
  <si>
    <t>precio base</t>
  </si>
  <si>
    <t>M2 vendibles para el emprendimiento</t>
  </si>
  <si>
    <t xml:space="preserve">TOTAL PREVENTA </t>
  </si>
  <si>
    <t xml:space="preserve">TOTAL VENTA TERMINADO </t>
  </si>
  <si>
    <t xml:space="preserve">TOTAL VENTA DURANTE LA OBRA </t>
  </si>
  <si>
    <t>i</t>
  </si>
  <si>
    <t>SALDO</t>
  </si>
  <si>
    <t>TOTALES</t>
  </si>
  <si>
    <t xml:space="preserve">cocheras </t>
  </si>
  <si>
    <t>ESTUDIO DE PREFACTIBILIDAD</t>
  </si>
  <si>
    <t>CDC Costo directo de construccion (costo total de obra)</t>
  </si>
  <si>
    <t>Costos blandos de obra y proyecto</t>
  </si>
  <si>
    <t>VENTAS</t>
  </si>
  <si>
    <t>Precio venta</t>
  </si>
  <si>
    <t>Parcial Ventas</t>
  </si>
  <si>
    <t>Total ventas</t>
  </si>
  <si>
    <t>GASTOS VENTAS</t>
  </si>
  <si>
    <t>Gastos comercializacion (comisiones)</t>
  </si>
  <si>
    <t>IVA a pagar</t>
  </si>
  <si>
    <t>Total gastos de Ventas</t>
  </si>
  <si>
    <t>SALDOS</t>
  </si>
  <si>
    <t>COSTO DIRECTO</t>
  </si>
  <si>
    <t>COSTO DE VENTAS</t>
  </si>
  <si>
    <t>m2 por P+DDO+G</t>
  </si>
  <si>
    <t>m2 / Fee por desarrollo del negocio</t>
  </si>
  <si>
    <t>CALCULO IVA A PAGAR</t>
  </si>
  <si>
    <t>IVA COSTOS</t>
  </si>
  <si>
    <t>IVA VENTAS</t>
  </si>
  <si>
    <t>% CONSTRUCCION (sujeto a IVA)</t>
  </si>
  <si>
    <t>% TIERRA (no sujeto a IVA)</t>
  </si>
  <si>
    <t>IVA VENTAS ( a la construccion)</t>
  </si>
  <si>
    <t>IVA A PAGAR</t>
  </si>
  <si>
    <t>TOTAL PREVENTA</t>
  </si>
  <si>
    <t>TOTAL VENTA REMANENTE</t>
  </si>
  <si>
    <t>FLUJO DE FONDOS</t>
  </si>
  <si>
    <t>EGRESOS</t>
  </si>
  <si>
    <t>AÑO 2</t>
  </si>
  <si>
    <t>AÑO 3</t>
  </si>
  <si>
    <t>AÑO 4</t>
  </si>
  <si>
    <t>Anticipo (preconstruccion)</t>
  </si>
  <si>
    <t>CONSTRUCCION</t>
  </si>
  <si>
    <t>POST CONSTRUCCION</t>
  </si>
  <si>
    <t>INGRESOS</t>
  </si>
  <si>
    <t>PARCIAL VENTAS</t>
  </si>
  <si>
    <t>TOTAL INGRESOS</t>
  </si>
  <si>
    <t>SALDO ACUMULADO</t>
  </si>
  <si>
    <t>INDICADORES</t>
  </si>
  <si>
    <t>RESULTADO</t>
  </si>
  <si>
    <t>MEC / APORTES SOCIOS</t>
  </si>
  <si>
    <t>RENTABILIDAD (RESULTADO / MEC)</t>
  </si>
  <si>
    <t>VAN</t>
  </si>
  <si>
    <t>TIR</t>
  </si>
  <si>
    <t>COSTO OBRA</t>
  </si>
  <si>
    <t>Saldo</t>
  </si>
  <si>
    <t>Administracion</t>
  </si>
  <si>
    <t>AÑO 5</t>
  </si>
  <si>
    <t>Gastos escrituración retencion + ICHeque + IIGG</t>
  </si>
  <si>
    <t>Ingreso durante la obra</t>
  </si>
  <si>
    <t>Ingreso post entrega</t>
  </si>
  <si>
    <t>TOTAL VENTAS</t>
  </si>
  <si>
    <t>Servicios de creditos / deuda</t>
  </si>
  <si>
    <t>Capital</t>
  </si>
  <si>
    <t>Intereses+ Gastos</t>
  </si>
  <si>
    <t>INGRESO CREDITOS / DEUDA</t>
  </si>
  <si>
    <t>Total Fondeo</t>
  </si>
  <si>
    <t>Fondeo Propio</t>
  </si>
  <si>
    <t>Recupero</t>
  </si>
  <si>
    <t>Ingreso saldo de ventas</t>
  </si>
  <si>
    <t>Devolución crédito /deuda</t>
  </si>
  <si>
    <t>Total recupero</t>
  </si>
  <si>
    <t>Beneficio</t>
  </si>
  <si>
    <t>Gastos</t>
  </si>
  <si>
    <t xml:space="preserve">Fee de exito desarrollador </t>
  </si>
  <si>
    <t>Socios Originantes</t>
  </si>
  <si>
    <t>Beneficio socios originantes</t>
  </si>
  <si>
    <t>$</t>
  </si>
  <si>
    <t>$/m2</t>
  </si>
  <si>
    <t>% de la venta en $</t>
  </si>
  <si>
    <t>FLUJO DE FONDOS  SIN FINANCIAMIENTO</t>
  </si>
  <si>
    <t>anticipos 30%</t>
  </si>
  <si>
    <t>ESCENARIOS</t>
  </si>
  <si>
    <t>M2 vendibles</t>
  </si>
  <si>
    <t>n° cocheras</t>
  </si>
  <si>
    <t>m2 totales cubiertos</t>
  </si>
  <si>
    <t>incidencia de la tierra</t>
  </si>
  <si>
    <t>costo total de obra</t>
  </si>
  <si>
    <t>costo total del emprendimento</t>
  </si>
  <si>
    <t>valor de venta m2 (promedio)</t>
  </si>
  <si>
    <t>valor de venta cocheras (promedio)</t>
  </si>
  <si>
    <t>valor de venta total</t>
  </si>
  <si>
    <t>rentabilidad sobre venta</t>
  </si>
  <si>
    <t>Proyecto y tramitacion municial</t>
  </si>
  <si>
    <t>12 meses</t>
  </si>
  <si>
    <t>Obra</t>
  </si>
  <si>
    <t>DATOS</t>
  </si>
  <si>
    <t>COSTOS</t>
  </si>
  <si>
    <t>RESULTADOS</t>
  </si>
  <si>
    <t>PLAZOS</t>
  </si>
  <si>
    <t>COSTO DEL TERRENO</t>
  </si>
  <si>
    <t>36 meses</t>
  </si>
  <si>
    <t>post construccion</t>
  </si>
  <si>
    <t>6 meses</t>
  </si>
  <si>
    <t>local</t>
  </si>
  <si>
    <t>m2 de construccion</t>
  </si>
  <si>
    <r>
      <t>Superficie Edificable</t>
    </r>
    <r>
      <rPr>
        <b/>
        <sz val="12"/>
        <color rgb="FFFF0000"/>
        <rFont val="Calibri"/>
        <family val="2"/>
        <scheme val="minor"/>
      </rPr>
      <t xml:space="preserve"> PROPIA</t>
    </r>
  </si>
  <si>
    <t>Thorne 1280</t>
  </si>
  <si>
    <t>}</t>
  </si>
  <si>
    <t>cocheras PB</t>
  </si>
  <si>
    <t>cocheras SS</t>
  </si>
  <si>
    <t>Exteriores</t>
  </si>
  <si>
    <t>Valor futuro de los m2</t>
  </si>
  <si>
    <t>n°  de cocheras</t>
  </si>
  <si>
    <t>comision inmobiliaria por compra de la tierra</t>
  </si>
  <si>
    <t>escrituracion / conformacio SA, est</t>
  </si>
  <si>
    <t>CASO DE NEGOCIOS</t>
  </si>
  <si>
    <t>INVERSION</t>
  </si>
  <si>
    <t>Indirectos</t>
  </si>
  <si>
    <t>FINANCIAMIENTO</t>
  </si>
  <si>
    <t>(fondeo durante la obra)</t>
  </si>
  <si>
    <t xml:space="preserve">Preventa </t>
  </si>
  <si>
    <t>cobrado durante la obra</t>
  </si>
  <si>
    <t>Venta durante la obra</t>
  </si>
  <si>
    <t xml:space="preserve"> cobrado durante la obra</t>
  </si>
  <si>
    <t>Venta remanente</t>
  </si>
  <si>
    <t>INGRESOS REMANENTES</t>
  </si>
  <si>
    <t>Saldo Venta durante la obra</t>
  </si>
  <si>
    <t>Venta Remanente</t>
  </si>
  <si>
    <t>RESULTADO DEL NEGOCIO</t>
  </si>
  <si>
    <t>Costos Indirectos</t>
  </si>
  <si>
    <t>Costos de ventas  , administracion  y legales</t>
  </si>
  <si>
    <t>IVA</t>
  </si>
  <si>
    <t>m2 estimado para venta</t>
  </si>
  <si>
    <t>CAPITAL PROPIO: (Inversion - Financiamiento)</t>
  </si>
  <si>
    <t>U$S MM</t>
  </si>
  <si>
    <t>Ingresos remanentes - Capital Propio)</t>
  </si>
  <si>
    <t>Rentabilidad del negocio (resultado / inversión)</t>
  </si>
  <si>
    <t>Rentabilidad del capital</t>
  </si>
  <si>
    <t>BENEFICIO SOCIOS ORIGINANTES</t>
  </si>
  <si>
    <t>Costos Blandos: de obra proyecto direccion y gerenciamiento, asesores, desarrollo</t>
  </si>
  <si>
    <t>Plusvalia por el terreno</t>
  </si>
  <si>
    <t>gl</t>
  </si>
  <si>
    <t>PARCIAL COSTOS OBRA</t>
  </si>
  <si>
    <t>EMPRENDIMIENTO</t>
  </si>
  <si>
    <t>Total m2 cubiertos</t>
  </si>
  <si>
    <t>valor actual</t>
  </si>
  <si>
    <t>Ver pestaña PLUSVALIA</t>
  </si>
  <si>
    <t>COSTO TOTAL (Obra + Cash x Terreno + varios)</t>
  </si>
  <si>
    <t>15% de los m2 + 5 cocheras</t>
  </si>
  <si>
    <t>vendibles</t>
  </si>
  <si>
    <t>(cubierta 100% + semicub 50%)</t>
  </si>
  <si>
    <t>VERFICAR en cada caso</t>
  </si>
  <si>
    <t>Derechos de construcción                                                   U$S/m2</t>
  </si>
  <si>
    <t>COSTO TOTAL (propio + comun + cochera) SIN TERRENO</t>
  </si>
  <si>
    <t>COSTO TOTAL (propio + comun + cochera) CON TERRENO</t>
  </si>
  <si>
    <t>COSTO TOTAL (propio + comun + cochera) CON TERRENO + COSTO DE VENTAS</t>
  </si>
  <si>
    <t>se desprecian los exteriores</t>
  </si>
  <si>
    <t>SE DESPRECIAN LOS EXTERIORES</t>
  </si>
  <si>
    <t>INCIDENCIA</t>
  </si>
  <si>
    <t>U$S/m2</t>
  </si>
  <si>
    <t>Cocheras</t>
  </si>
  <si>
    <t>m2 por cochera</t>
  </si>
  <si>
    <t>SERVICIOS DE CREDITOS</t>
  </si>
  <si>
    <t>INGRESOS FINANCIEROS / BANCO</t>
  </si>
  <si>
    <t>Cancelacion ingresos financieros</t>
  </si>
  <si>
    <t>Año 1 Preconstruccion</t>
  </si>
  <si>
    <t>AÑO 6</t>
  </si>
  <si>
    <t>Gasto minimo de puesta en marcha</t>
  </si>
  <si>
    <t>GMPEM</t>
  </si>
  <si>
    <t>fondeo</t>
  </si>
  <si>
    <t>reupero</t>
  </si>
  <si>
    <t>recupero</t>
  </si>
  <si>
    <t>Beneficio Socios Originantes $</t>
  </si>
  <si>
    <t>Beneficio socios originantes %</t>
  </si>
  <si>
    <t>FLUJO DE FONDOS CON FINANCIAMIENTO</t>
  </si>
  <si>
    <t>FLUJO CON APALANCAMIENTO FINANCIERO</t>
  </si>
  <si>
    <t>M2 vendibles (ponderados)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</si>
</sst>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* #,##0_ ;_ * \-#,##0_ ;_ * &quot;-&quot;_ ;_ @_ "/>
    <numFmt numFmtId="165" formatCode="_ * #,##0.00_ ;_ * \-#,##0.00_ ;_ * &quot;-&quot;??_ ;_ @_ "/>
    <numFmt numFmtId="166" formatCode="_-* #,##0.00\ &quot;€&quot;_-;\-* #,##0.00\ &quot;€&quot;_-;_-* &quot;-&quot;??\ &quot;€&quot;_-;_-@_-"/>
    <numFmt numFmtId="167" formatCode="_-* #,##0.00\ _€_-;\-* #,##0.00\ _€_-;_-* &quot;-&quot;??\ _€_-;_-@_-"/>
    <numFmt numFmtId="168" formatCode="_(* #,##0.00_);_(* \(#,##0.00\);_(* &quot;-&quot;??_);_(@_)"/>
    <numFmt numFmtId="169" formatCode="dd/mm/yy;@"/>
    <numFmt numFmtId="170" formatCode="_-* #,##0_-;\-* #,##0_-;_-* &quot;-&quot;??_-;_-@_-"/>
    <numFmt numFmtId="171" formatCode="_(* #,##0_);_(* \(#,##0\);_(* &quot;-&quot;??_);_(@_)"/>
    <numFmt numFmtId="172" formatCode="&quot;$&quot;\ #,##0"/>
    <numFmt numFmtId="173" formatCode="0.0%"/>
    <numFmt numFmtId="174" formatCode="_ &quot;$&quot;\ * #,##0.00_ ;_ &quot;$&quot;\ * \-#,##0.00_ ;_ &quot;$&quot;\ * &quot;-&quot;??_ ;_ @_ "/>
    <numFmt numFmtId="175" formatCode="_ [$€-2]\ * #,##0.00_ ;_ [$€-2]\ * \-#,##0.00_ ;_ [$€-2]\ * &quot;-&quot;??_ "/>
    <numFmt numFmtId="176" formatCode="0.000000000000"/>
    <numFmt numFmtId="177" formatCode="_ * #,##0.0_ ;_ * \-#,##0.0_ ;_ * &quot;-&quot;_ ;_ @_ "/>
    <numFmt numFmtId="178" formatCode="d/m/yy;@"/>
  </numFmts>
  <fonts count="7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0" tint="-0.499984740745262"/>
      <name val="Calibri"/>
      <family val="2"/>
      <scheme val="minor"/>
    </font>
    <font>
      <b/>
      <sz val="10"/>
      <color indexed="1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name val="MS Sans Serif"/>
      <family val="2"/>
    </font>
    <font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sz val="12"/>
      <color indexed="9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6"/>
      <color indexed="10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4"/>
      <name val="Calibri"/>
      <family val="2"/>
      <scheme val="minor"/>
    </font>
    <font>
      <sz val="16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Arial"/>
      <family val="2"/>
    </font>
    <font>
      <b/>
      <sz val="16"/>
      <color rgb="FFFF0000"/>
      <name val="Calibri"/>
      <family val="2"/>
      <scheme val="minor"/>
    </font>
    <font>
      <b/>
      <sz val="16"/>
      <color indexed="9"/>
      <name val="Calibri"/>
      <family val="2"/>
      <scheme val="minor"/>
    </font>
    <font>
      <b/>
      <sz val="18"/>
      <name val="Calibri"/>
      <family val="2"/>
      <scheme val="minor"/>
    </font>
    <font>
      <sz val="10"/>
      <name val="Lato"/>
      <family val="2"/>
    </font>
    <font>
      <b/>
      <sz val="10"/>
      <name val="Lato"/>
      <family val="2"/>
    </font>
    <font>
      <b/>
      <sz val="12"/>
      <name val="Lato"/>
      <family val="2"/>
    </font>
    <font>
      <sz val="12"/>
      <name val="Lato"/>
      <family val="2"/>
    </font>
    <font>
      <b/>
      <sz val="16"/>
      <color theme="0"/>
      <name val="Lato Light"/>
      <family val="2"/>
    </font>
    <font>
      <sz val="10"/>
      <name val="Lato Light"/>
      <family val="2"/>
    </font>
    <font>
      <sz val="11"/>
      <name val="Lato Light"/>
      <family val="2"/>
    </font>
    <font>
      <b/>
      <sz val="11"/>
      <name val="Lato Light"/>
      <family val="2"/>
    </font>
    <font>
      <b/>
      <sz val="10"/>
      <name val="Lato Light"/>
      <family val="2"/>
    </font>
    <font>
      <b/>
      <sz val="12"/>
      <name val="Lato Light"/>
      <family val="2"/>
    </font>
    <font>
      <b/>
      <sz val="18"/>
      <name val="Lato Light"/>
      <family val="2"/>
    </font>
    <font>
      <b/>
      <sz val="16"/>
      <name val="Lato Light"/>
      <family val="2"/>
    </font>
    <font>
      <b/>
      <sz val="10"/>
      <color theme="1" tint="0.499984740745262"/>
      <name val="Lato Light"/>
      <family val="2"/>
    </font>
    <font>
      <b/>
      <sz val="12"/>
      <color theme="4"/>
      <name val="Lato Light"/>
      <family val="2"/>
    </font>
    <font>
      <sz val="10"/>
      <color theme="1" tint="0.499984740745262"/>
      <name val="Lato Light"/>
      <family val="2"/>
    </font>
    <font>
      <b/>
      <sz val="24"/>
      <color theme="3" tint="-0.499984740745262"/>
      <name val="Calibri"/>
      <family val="2"/>
      <scheme val="minor"/>
    </font>
    <font>
      <sz val="24"/>
      <color theme="3" tint="-0.499984740745262"/>
      <name val="Calibri"/>
      <family val="2"/>
      <scheme val="minor"/>
    </font>
    <font>
      <b/>
      <sz val="14"/>
      <color theme="3" tint="-0.499984740745262"/>
      <name val="Calibri"/>
      <family val="2"/>
      <scheme val="minor"/>
    </font>
    <font>
      <b/>
      <sz val="20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5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87">
    <xf numFmtId="0" fontId="0" fillId="0" borderId="0"/>
    <xf numFmtId="0" fontId="12" fillId="0" borderId="0" applyNumberForma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9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7" fillId="0" borderId="0"/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9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7" fillId="17" borderId="0" applyNumberFormat="0" applyBorder="0" applyAlignment="0" applyProtection="0"/>
    <xf numFmtId="0" fontId="27" fillId="18" borderId="0" applyNumberFormat="0" applyBorder="0" applyAlignment="0" applyProtection="0"/>
    <xf numFmtId="0" fontId="27" fillId="19" borderId="0" applyNumberFormat="0" applyBorder="0" applyAlignment="0" applyProtection="0"/>
    <xf numFmtId="0" fontId="27" fillId="20" borderId="0" applyNumberFormat="0" applyBorder="0" applyAlignment="0" applyProtection="0"/>
    <xf numFmtId="0" fontId="27" fillId="21" borderId="0" applyNumberFormat="0" applyBorder="0" applyAlignment="0" applyProtection="0"/>
    <xf numFmtId="0" fontId="27" fillId="22" borderId="0" applyNumberFormat="0" applyBorder="0" applyAlignment="0" applyProtection="0"/>
    <xf numFmtId="0" fontId="27" fillId="23" borderId="0" applyNumberFormat="0" applyBorder="0" applyAlignment="0" applyProtection="0"/>
    <xf numFmtId="0" fontId="27" fillId="24" borderId="0" applyNumberFormat="0" applyBorder="0" applyAlignment="0" applyProtection="0"/>
    <xf numFmtId="0" fontId="27" fillId="25" borderId="0" applyNumberFormat="0" applyBorder="0" applyAlignment="0" applyProtection="0"/>
    <xf numFmtId="0" fontId="27" fillId="20" borderId="0" applyNumberFormat="0" applyBorder="0" applyAlignment="0" applyProtection="0"/>
    <xf numFmtId="0" fontId="27" fillId="23" borderId="0" applyNumberFormat="0" applyBorder="0" applyAlignment="0" applyProtection="0"/>
    <xf numFmtId="0" fontId="27" fillId="26" borderId="0" applyNumberFormat="0" applyBorder="0" applyAlignment="0" applyProtection="0"/>
    <xf numFmtId="0" fontId="28" fillId="27" borderId="0" applyNumberFormat="0" applyBorder="0" applyAlignment="0" applyProtection="0"/>
    <xf numFmtId="0" fontId="28" fillId="24" borderId="0" applyNumberFormat="0" applyBorder="0" applyAlignment="0" applyProtection="0"/>
    <xf numFmtId="0" fontId="28" fillId="25" borderId="0" applyNumberFormat="0" applyBorder="0" applyAlignment="0" applyProtection="0"/>
    <xf numFmtId="0" fontId="28" fillId="28" borderId="0" applyNumberFormat="0" applyBorder="0" applyAlignment="0" applyProtection="0"/>
    <xf numFmtId="0" fontId="28" fillId="29" borderId="0" applyNumberFormat="0" applyBorder="0" applyAlignment="0" applyProtection="0"/>
    <xf numFmtId="0" fontId="28" fillId="30" borderId="0" applyNumberFormat="0" applyBorder="0" applyAlignment="0" applyProtection="0"/>
    <xf numFmtId="0" fontId="28" fillId="31" borderId="0" applyNumberFormat="0" applyBorder="0" applyAlignment="0" applyProtection="0"/>
    <xf numFmtId="0" fontId="28" fillId="32" borderId="0" applyNumberFormat="0" applyBorder="0" applyAlignment="0" applyProtection="0"/>
    <xf numFmtId="0" fontId="28" fillId="33" borderId="0" applyNumberFormat="0" applyBorder="0" applyAlignment="0" applyProtection="0"/>
    <xf numFmtId="0" fontId="28" fillId="28" borderId="0" applyNumberFormat="0" applyBorder="0" applyAlignment="0" applyProtection="0"/>
    <xf numFmtId="0" fontId="28" fillId="29" borderId="0" applyNumberFormat="0" applyBorder="0" applyAlignment="0" applyProtection="0"/>
    <xf numFmtId="0" fontId="28" fillId="34" borderId="0" applyNumberFormat="0" applyBorder="0" applyAlignment="0" applyProtection="0"/>
    <xf numFmtId="0" fontId="29" fillId="18" borderId="0" applyNumberFormat="0" applyBorder="0" applyAlignment="0" applyProtection="0"/>
    <xf numFmtId="0" fontId="30" fillId="35" borderId="16" applyNumberFormat="0" applyAlignment="0" applyProtection="0"/>
    <xf numFmtId="0" fontId="31" fillId="36" borderId="17" applyNumberFormat="0" applyAlignment="0" applyProtection="0"/>
    <xf numFmtId="3" fontId="4" fillId="0" borderId="13" applyBorder="0"/>
    <xf numFmtId="175" fontId="4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19" borderId="0" applyNumberFormat="0" applyBorder="0" applyAlignment="0" applyProtection="0"/>
    <xf numFmtId="0" fontId="34" fillId="0" borderId="18" applyNumberFormat="0" applyFill="0" applyAlignment="0" applyProtection="0"/>
    <xf numFmtId="0" fontId="35" fillId="0" borderId="19" applyNumberFormat="0" applyFill="0" applyAlignment="0" applyProtection="0"/>
    <xf numFmtId="0" fontId="36" fillId="0" borderId="20" applyNumberFormat="0" applyFill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>
      <alignment vertical="top"/>
      <protection locked="0"/>
    </xf>
    <xf numFmtId="0" fontId="38" fillId="22" borderId="16" applyNumberFormat="0" applyAlignment="0" applyProtection="0"/>
    <xf numFmtId="0" fontId="39" fillId="0" borderId="21" applyNumberFormat="0" applyFill="0" applyAlignment="0" applyProtection="0"/>
    <xf numFmtId="174" fontId="27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27" fillId="0" borderId="0" applyFont="0" applyFill="0" applyBorder="0" applyAlignment="0" applyProtection="0"/>
    <xf numFmtId="176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27" fillId="37" borderId="22" applyNumberFormat="0" applyFont="0" applyAlignment="0" applyProtection="0"/>
    <xf numFmtId="0" fontId="40" fillId="35" borderId="23" applyNumberFormat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50" fillId="0" borderId="0"/>
    <xf numFmtId="167" fontId="1" fillId="0" borderId="0" applyFont="0" applyFill="0" applyBorder="0" applyAlignment="0" applyProtection="0"/>
  </cellStyleXfs>
  <cellXfs count="404">
    <xf numFmtId="0" fontId="0" fillId="0" borderId="0" xfId="0"/>
    <xf numFmtId="0" fontId="5" fillId="2" borderId="0" xfId="4" applyFont="1" applyFill="1"/>
    <xf numFmtId="0" fontId="5" fillId="0" borderId="0" xfId="4" applyFont="1"/>
    <xf numFmtId="0" fontId="4" fillId="0" borderId="0" xfId="4"/>
    <xf numFmtId="0" fontId="8" fillId="2" borderId="0" xfId="4" applyFont="1" applyFill="1" applyAlignment="1">
      <alignment horizontal="left"/>
    </xf>
    <xf numFmtId="165" fontId="5" fillId="2" borderId="0" xfId="4" applyNumberFormat="1" applyFont="1" applyFill="1"/>
    <xf numFmtId="0" fontId="2" fillId="0" borderId="0" xfId="4" applyFont="1" applyAlignment="1">
      <alignment horizontal="center"/>
    </xf>
    <xf numFmtId="0" fontId="4" fillId="0" borderId="0" xfId="4" applyAlignment="1">
      <alignment horizontal="right"/>
    </xf>
    <xf numFmtId="0" fontId="7" fillId="2" borderId="0" xfId="4" applyFont="1" applyFill="1" applyAlignment="1">
      <alignment horizontal="left"/>
    </xf>
    <xf numFmtId="0" fontId="7" fillId="2" borderId="0" xfId="4" applyFont="1" applyFill="1" applyAlignment="1">
      <alignment horizontal="center"/>
    </xf>
    <xf numFmtId="0" fontId="7" fillId="2" borderId="0" xfId="4" applyFont="1" applyFill="1"/>
    <xf numFmtId="0" fontId="7" fillId="2" borderId="0" xfId="4" applyFont="1" applyFill="1" applyAlignment="1">
      <alignment horizontal="right"/>
    </xf>
    <xf numFmtId="0" fontId="10" fillId="2" borderId="0" xfId="4" applyFont="1" applyFill="1"/>
    <xf numFmtId="2" fontId="2" fillId="0" borderId="0" xfId="4" applyNumberFormat="1" applyFont="1" applyAlignment="1">
      <alignment horizontal="center" vertical="center"/>
    </xf>
    <xf numFmtId="171" fontId="7" fillId="2" borderId="0" xfId="2" applyNumberFormat="1" applyFont="1" applyFill="1" applyBorder="1" applyAlignment="1">
      <alignment horizontal="left"/>
    </xf>
    <xf numFmtId="171" fontId="7" fillId="2" borderId="0" xfId="2" applyNumberFormat="1" applyFont="1" applyFill="1" applyBorder="1"/>
    <xf numFmtId="0" fontId="7" fillId="2" borderId="0" xfId="4" applyFont="1" applyFill="1" applyAlignment="1">
      <alignment horizontal="right" indent="1"/>
    </xf>
    <xf numFmtId="0" fontId="7" fillId="5" borderId="0" xfId="4" applyFont="1" applyFill="1"/>
    <xf numFmtId="171" fontId="7" fillId="6" borderId="0" xfId="2" applyNumberFormat="1" applyFont="1" applyFill="1" applyBorder="1" applyAlignment="1">
      <alignment horizontal="left"/>
    </xf>
    <xf numFmtId="0" fontId="7" fillId="6" borderId="0" xfId="4" applyFont="1" applyFill="1" applyAlignment="1">
      <alignment horizontal="left"/>
    </xf>
    <xf numFmtId="168" fontId="7" fillId="2" borderId="0" xfId="2" applyNumberFormat="1" applyFont="1" applyFill="1" applyBorder="1"/>
    <xf numFmtId="2" fontId="2" fillId="0" borderId="0" xfId="4" applyNumberFormat="1" applyFont="1" applyAlignment="1">
      <alignment horizontal="left" vertical="center"/>
    </xf>
    <xf numFmtId="9" fontId="7" fillId="4" borderId="0" xfId="3" applyFont="1" applyFill="1" applyBorder="1"/>
    <xf numFmtId="171" fontId="7" fillId="6" borderId="0" xfId="4" applyNumberFormat="1" applyFont="1" applyFill="1"/>
    <xf numFmtId="168" fontId="7" fillId="6" borderId="0" xfId="2" applyNumberFormat="1" applyFont="1" applyFill="1" applyBorder="1"/>
    <xf numFmtId="0" fontId="7" fillId="6" borderId="0" xfId="4" applyFont="1" applyFill="1"/>
    <xf numFmtId="1" fontId="3" fillId="0" borderId="0" xfId="4" applyNumberFormat="1" applyFont="1" applyAlignment="1">
      <alignment horizontal="center"/>
    </xf>
    <xf numFmtId="0" fontId="2" fillId="7" borderId="0" xfId="4" applyFont="1" applyFill="1" applyAlignment="1">
      <alignment horizontal="left"/>
    </xf>
    <xf numFmtId="0" fontId="2" fillId="7" borderId="0" xfId="4" applyFont="1" applyFill="1"/>
    <xf numFmtId="171" fontId="7" fillId="2" borderId="0" xfId="4" applyNumberFormat="1" applyFont="1" applyFill="1"/>
    <xf numFmtId="171" fontId="5" fillId="0" borderId="0" xfId="4" applyNumberFormat="1" applyFont="1"/>
    <xf numFmtId="171" fontId="7" fillId="2" borderId="0" xfId="2" applyNumberFormat="1" applyFont="1" applyFill="1" applyBorder="1" applyAlignment="1"/>
    <xf numFmtId="171" fontId="7" fillId="0" borderId="0" xfId="2" applyNumberFormat="1" applyFont="1" applyFill="1" applyBorder="1"/>
    <xf numFmtId="9" fontId="5" fillId="0" borderId="0" xfId="3" applyFont="1" applyFill="1"/>
    <xf numFmtId="171" fontId="7" fillId="2" borderId="0" xfId="4" applyNumberFormat="1" applyFont="1" applyFill="1" applyAlignment="1">
      <alignment horizontal="right"/>
    </xf>
    <xf numFmtId="43" fontId="5" fillId="0" borderId="0" xfId="4" applyNumberFormat="1" applyFont="1"/>
    <xf numFmtId="4" fontId="7" fillId="2" borderId="0" xfId="4" applyNumberFormat="1" applyFont="1" applyFill="1" applyAlignment="1">
      <alignment horizontal="left"/>
    </xf>
    <xf numFmtId="4" fontId="7" fillId="2" borderId="0" xfId="4" applyNumberFormat="1" applyFont="1" applyFill="1"/>
    <xf numFmtId="9" fontId="7" fillId="2" borderId="0" xfId="3" applyFont="1" applyFill="1" applyBorder="1" applyAlignment="1"/>
    <xf numFmtId="4" fontId="9" fillId="2" borderId="0" xfId="4" applyNumberFormat="1" applyFont="1" applyFill="1" applyAlignment="1">
      <alignment horizontal="left"/>
    </xf>
    <xf numFmtId="172" fontId="7" fillId="2" borderId="0" xfId="2" applyNumberFormat="1" applyFont="1" applyFill="1" applyBorder="1"/>
    <xf numFmtId="4" fontId="7" fillId="6" borderId="0" xfId="4" applyNumberFormat="1" applyFont="1" applyFill="1" applyAlignment="1">
      <alignment horizontal="left"/>
    </xf>
    <xf numFmtId="4" fontId="7" fillId="0" borderId="0" xfId="4" applyNumberFormat="1" applyFont="1" applyAlignment="1">
      <alignment horizontal="left"/>
    </xf>
    <xf numFmtId="173" fontId="7" fillId="2" borderId="0" xfId="3" applyNumberFormat="1" applyFont="1" applyFill="1" applyBorder="1" applyAlignment="1"/>
    <xf numFmtId="172" fontId="11" fillId="7" borderId="6" xfId="4" applyNumberFormat="1" applyFont="1" applyFill="1" applyBorder="1"/>
    <xf numFmtId="0" fontId="11" fillId="7" borderId="0" xfId="4" applyFont="1" applyFill="1" applyAlignment="1">
      <alignment horizontal="left"/>
    </xf>
    <xf numFmtId="0" fontId="11" fillId="7" borderId="0" xfId="4" applyFont="1" applyFill="1"/>
    <xf numFmtId="0" fontId="8" fillId="6" borderId="0" xfId="4" applyFont="1" applyFill="1" applyAlignment="1">
      <alignment horizontal="left"/>
    </xf>
    <xf numFmtId="0" fontId="8" fillId="6" borderId="0" xfId="4" applyFont="1" applyFill="1"/>
    <xf numFmtId="0" fontId="5" fillId="6" borderId="0" xfId="4" applyFont="1" applyFill="1" applyAlignment="1">
      <alignment horizontal="center" vertical="center"/>
    </xf>
    <xf numFmtId="0" fontId="5" fillId="6" borderId="0" xfId="4" applyFont="1" applyFill="1" applyAlignment="1">
      <alignment horizontal="center" vertical="center" wrapText="1"/>
    </xf>
    <xf numFmtId="172" fontId="7" fillId="2" borderId="0" xfId="4" applyNumberFormat="1" applyFont="1" applyFill="1" applyAlignment="1">
      <alignment horizontal="right" vertical="center"/>
    </xf>
    <xf numFmtId="1" fontId="7" fillId="2" borderId="0" xfId="4" applyNumberFormat="1" applyFont="1" applyFill="1" applyAlignment="1">
      <alignment horizontal="right" vertical="center"/>
    </xf>
    <xf numFmtId="172" fontId="7" fillId="6" borderId="0" xfId="2" applyNumberFormat="1" applyFont="1" applyFill="1" applyBorder="1"/>
    <xf numFmtId="9" fontId="5" fillId="0" borderId="0" xfId="4" applyNumberFormat="1" applyFont="1"/>
    <xf numFmtId="4" fontId="7" fillId="2" borderId="0" xfId="4" applyNumberFormat="1" applyFont="1" applyFill="1" applyAlignment="1">
      <alignment horizontal="right"/>
    </xf>
    <xf numFmtId="170" fontId="7" fillId="2" borderId="0" xfId="2" applyNumberFormat="1" applyFont="1" applyFill="1" applyBorder="1"/>
    <xf numFmtId="171" fontId="7" fillId="0" borderId="2" xfId="2" applyNumberFormat="1" applyFont="1" applyFill="1" applyBorder="1"/>
    <xf numFmtId="0" fontId="7" fillId="0" borderId="0" xfId="4" applyFont="1"/>
    <xf numFmtId="0" fontId="5" fillId="0" borderId="0" xfId="4" applyFont="1" applyAlignment="1">
      <alignment horizontal="left"/>
    </xf>
    <xf numFmtId="173" fontId="9" fillId="2" borderId="0" xfId="3" applyNumberFormat="1" applyFont="1" applyFill="1" applyBorder="1" applyAlignment="1"/>
    <xf numFmtId="9" fontId="7" fillId="6" borderId="0" xfId="3" applyFont="1" applyFill="1" applyBorder="1" applyAlignment="1"/>
    <xf numFmtId="173" fontId="7" fillId="6" borderId="0" xfId="3" applyNumberFormat="1" applyFont="1" applyFill="1" applyBorder="1" applyAlignment="1"/>
    <xf numFmtId="9" fontId="7" fillId="10" borderId="0" xfId="3" applyFont="1" applyFill="1" applyBorder="1" applyAlignment="1"/>
    <xf numFmtId="172" fontId="7" fillId="10" borderId="0" xfId="4" applyNumberFormat="1" applyFont="1" applyFill="1" applyAlignment="1">
      <alignment horizontal="right" vertical="center"/>
    </xf>
    <xf numFmtId="172" fontId="7" fillId="6" borderId="0" xfId="4" applyNumberFormat="1" applyFont="1" applyFill="1"/>
    <xf numFmtId="0" fontId="5" fillId="0" borderId="0" xfId="4" applyFont="1" applyAlignment="1">
      <alignment horizontal="center"/>
    </xf>
    <xf numFmtId="1" fontId="7" fillId="2" borderId="0" xfId="4" applyNumberFormat="1" applyFont="1" applyFill="1"/>
    <xf numFmtId="0" fontId="20" fillId="13" borderId="0" xfId="4" applyFont="1" applyFill="1" applyAlignment="1">
      <alignment horizontal="center"/>
    </xf>
    <xf numFmtId="0" fontId="20" fillId="13" borderId="0" xfId="4" applyFont="1" applyFill="1"/>
    <xf numFmtId="0" fontId="21" fillId="13" borderId="0" xfId="4" applyFont="1" applyFill="1"/>
    <xf numFmtId="0" fontId="22" fillId="13" borderId="0" xfId="4" applyFont="1" applyFill="1"/>
    <xf numFmtId="0" fontId="7" fillId="3" borderId="1" xfId="12" applyFont="1" applyFill="1" applyBorder="1"/>
    <xf numFmtId="3" fontId="15" fillId="11" borderId="2" xfId="4" applyNumberFormat="1" applyFont="1" applyFill="1" applyBorder="1"/>
    <xf numFmtId="4" fontId="7" fillId="0" borderId="2" xfId="4" applyNumberFormat="1" applyFont="1" applyBorder="1" applyAlignment="1">
      <alignment horizontal="left"/>
    </xf>
    <xf numFmtId="4" fontId="7" fillId="0" borderId="2" xfId="4" applyNumberFormat="1" applyFont="1" applyBorder="1"/>
    <xf numFmtId="9" fontId="7" fillId="0" borderId="2" xfId="3" applyFont="1" applyFill="1" applyBorder="1" applyAlignment="1"/>
    <xf numFmtId="171" fontId="7" fillId="0" borderId="1" xfId="2" applyNumberFormat="1" applyFont="1" applyFill="1" applyBorder="1"/>
    <xf numFmtId="1" fontId="7" fillId="0" borderId="2" xfId="4" applyNumberFormat="1" applyFont="1" applyBorder="1"/>
    <xf numFmtId="4" fontId="7" fillId="0" borderId="11" xfId="4" applyNumberFormat="1" applyFont="1" applyBorder="1"/>
    <xf numFmtId="9" fontId="7" fillId="0" borderId="11" xfId="3" applyFont="1" applyFill="1" applyBorder="1" applyAlignment="1"/>
    <xf numFmtId="4" fontId="7" fillId="0" borderId="1" xfId="4" applyNumberFormat="1" applyFont="1" applyBorder="1" applyAlignment="1">
      <alignment horizontal="left"/>
    </xf>
    <xf numFmtId="4" fontId="7" fillId="0" borderId="1" xfId="4" applyNumberFormat="1" applyFont="1" applyBorder="1"/>
    <xf numFmtId="10" fontId="7" fillId="0" borderId="11" xfId="3" applyNumberFormat="1" applyFont="1" applyFill="1" applyBorder="1"/>
    <xf numFmtId="0" fontId="5" fillId="0" borderId="0" xfId="4" applyFont="1" applyAlignment="1">
      <alignment horizontal="left" vertical="center"/>
    </xf>
    <xf numFmtId="0" fontId="5" fillId="0" borderId="0" xfId="4" applyFont="1" applyAlignment="1">
      <alignment vertical="center"/>
    </xf>
    <xf numFmtId="4" fontId="7" fillId="6" borderId="2" xfId="12" applyNumberFormat="1" applyFont="1" applyFill="1" applyBorder="1"/>
    <xf numFmtId="4" fontId="7" fillId="6" borderId="2" xfId="12" applyNumberFormat="1" applyFont="1" applyFill="1" applyBorder="1" applyAlignment="1">
      <alignment horizontal="left"/>
    </xf>
    <xf numFmtId="3" fontId="5" fillId="0" borderId="0" xfId="4" applyNumberFormat="1" applyFont="1"/>
    <xf numFmtId="41" fontId="5" fillId="0" borderId="0" xfId="20" applyFont="1" applyFill="1"/>
    <xf numFmtId="41" fontId="5" fillId="0" borderId="0" xfId="4" applyNumberFormat="1" applyFont="1"/>
    <xf numFmtId="41" fontId="7" fillId="3" borderId="6" xfId="20" applyFont="1" applyFill="1" applyBorder="1" applyAlignment="1">
      <alignment horizontal="right"/>
    </xf>
    <xf numFmtId="172" fontId="2" fillId="7" borderId="3" xfId="12" applyNumberFormat="1" applyFont="1" applyFill="1" applyBorder="1"/>
    <xf numFmtId="9" fontId="2" fillId="7" borderId="5" xfId="3" applyFont="1" applyFill="1" applyBorder="1"/>
    <xf numFmtId="170" fontId="5" fillId="0" borderId="0" xfId="2" applyNumberFormat="1" applyFont="1"/>
    <xf numFmtId="0" fontId="14" fillId="13" borderId="0" xfId="4" applyFont="1" applyFill="1"/>
    <xf numFmtId="0" fontId="24" fillId="13" borderId="0" xfId="4" applyFont="1" applyFill="1"/>
    <xf numFmtId="3" fontId="16" fillId="11" borderId="0" xfId="4" applyNumberFormat="1" applyFont="1" applyFill="1"/>
    <xf numFmtId="3" fontId="16" fillId="11" borderId="0" xfId="4" applyNumberFormat="1" applyFont="1" applyFill="1" applyAlignment="1">
      <alignment horizontal="center"/>
    </xf>
    <xf numFmtId="0" fontId="5" fillId="8" borderId="0" xfId="4" applyFont="1" applyFill="1"/>
    <xf numFmtId="4" fontId="5" fillId="0" borderId="0" xfId="4" applyNumberFormat="1" applyFont="1"/>
    <xf numFmtId="41" fontId="23" fillId="16" borderId="0" xfId="20" applyFont="1" applyFill="1" applyBorder="1" applyAlignment="1">
      <alignment vertical="center"/>
    </xf>
    <xf numFmtId="10" fontId="7" fillId="0" borderId="0" xfId="3" applyNumberFormat="1" applyFont="1"/>
    <xf numFmtId="41" fontId="23" fillId="6" borderId="0" xfId="20" applyFont="1" applyFill="1" applyBorder="1" applyAlignment="1">
      <alignment vertical="center"/>
    </xf>
    <xf numFmtId="41" fontId="23" fillId="6" borderId="0" xfId="20" applyFont="1" applyFill="1" applyBorder="1" applyAlignment="1">
      <alignment horizontal="left" vertical="center"/>
    </xf>
    <xf numFmtId="10" fontId="23" fillId="6" borderId="0" xfId="3" applyNumberFormat="1" applyFont="1" applyFill="1" applyBorder="1" applyAlignment="1">
      <alignment horizontal="right" vertical="center"/>
    </xf>
    <xf numFmtId="3" fontId="7" fillId="6" borderId="2" xfId="12" applyNumberFormat="1" applyFont="1" applyFill="1" applyBorder="1"/>
    <xf numFmtId="172" fontId="5" fillId="0" borderId="0" xfId="4" applyNumberFormat="1" applyFont="1"/>
    <xf numFmtId="172" fontId="7" fillId="8" borderId="0" xfId="4" applyNumberFormat="1" applyFont="1" applyFill="1"/>
    <xf numFmtId="44" fontId="5" fillId="0" borderId="0" xfId="24" applyFont="1" applyFill="1"/>
    <xf numFmtId="172" fontId="7" fillId="2" borderId="0" xfId="4" applyNumberFormat="1" applyFont="1" applyFill="1"/>
    <xf numFmtId="4" fontId="7" fillId="2" borderId="0" xfId="4" applyNumberFormat="1" applyFont="1" applyFill="1" applyAlignment="1">
      <alignment wrapText="1"/>
    </xf>
    <xf numFmtId="173" fontId="7" fillId="0" borderId="2" xfId="3" applyNumberFormat="1" applyFont="1" applyFill="1" applyBorder="1" applyAlignment="1"/>
    <xf numFmtId="1" fontId="43" fillId="6" borderId="0" xfId="1" applyNumberFormat="1" applyFont="1" applyFill="1" applyBorder="1" applyAlignment="1">
      <alignment horizontal="right"/>
    </xf>
    <xf numFmtId="164" fontId="7" fillId="0" borderId="2" xfId="19" applyFont="1" applyFill="1" applyBorder="1"/>
    <xf numFmtId="164" fontId="21" fillId="13" borderId="0" xfId="19" applyFont="1" applyFill="1"/>
    <xf numFmtId="164" fontId="5" fillId="2" borderId="0" xfId="19" applyFont="1" applyFill="1"/>
    <xf numFmtId="164" fontId="7" fillId="2" borderId="0" xfId="19" applyFont="1" applyFill="1" applyBorder="1"/>
    <xf numFmtId="164" fontId="5" fillId="2" borderId="0" xfId="19" applyFont="1" applyFill="1" applyBorder="1"/>
    <xf numFmtId="164" fontId="7" fillId="6" borderId="0" xfId="19" applyFont="1" applyFill="1" applyBorder="1"/>
    <xf numFmtId="164" fontId="2" fillId="7" borderId="3" xfId="19" applyFont="1" applyFill="1" applyBorder="1"/>
    <xf numFmtId="164" fontId="11" fillId="2" borderId="0" xfId="19" applyFont="1" applyFill="1" applyBorder="1" applyAlignment="1">
      <alignment vertical="center"/>
    </xf>
    <xf numFmtId="164" fontId="7" fillId="2" borderId="0" xfId="19" applyFont="1" applyFill="1" applyBorder="1" applyAlignment="1">
      <alignment horizontal="right"/>
    </xf>
    <xf numFmtId="164" fontId="43" fillId="6" borderId="0" xfId="19" applyFont="1" applyFill="1" applyBorder="1" applyAlignment="1">
      <alignment horizontal="right"/>
    </xf>
    <xf numFmtId="164" fontId="5" fillId="0" borderId="0" xfId="19" applyFont="1" applyFill="1"/>
    <xf numFmtId="164" fontId="7" fillId="3" borderId="1" xfId="19" applyFont="1" applyFill="1" applyBorder="1" applyAlignment="1">
      <alignment horizontal="left"/>
    </xf>
    <xf numFmtId="164" fontId="7" fillId="0" borderId="11" xfId="19" applyFont="1" applyFill="1" applyBorder="1"/>
    <xf numFmtId="164" fontId="7" fillId="0" borderId="1" xfId="19" applyFont="1" applyFill="1" applyBorder="1" applyAlignment="1">
      <alignment horizontal="left"/>
    </xf>
    <xf numFmtId="164" fontId="7" fillId="6" borderId="2" xfId="19" applyFont="1" applyFill="1" applyBorder="1" applyAlignment="1">
      <alignment horizontal="left"/>
    </xf>
    <xf numFmtId="164" fontId="7" fillId="6" borderId="0" xfId="19" applyFont="1" applyFill="1" applyBorder="1" applyAlignment="1">
      <alignment horizontal="right"/>
    </xf>
    <xf numFmtId="164" fontId="5" fillId="10" borderId="0" xfId="19" applyFont="1" applyFill="1"/>
    <xf numFmtId="164" fontId="7" fillId="6" borderId="2" xfId="19" applyFont="1" applyFill="1" applyBorder="1" applyAlignment="1">
      <alignment horizontal="right"/>
    </xf>
    <xf numFmtId="164" fontId="15" fillId="11" borderId="2" xfId="19" applyFont="1" applyFill="1" applyBorder="1" applyAlignment="1"/>
    <xf numFmtId="164" fontId="13" fillId="7" borderId="0" xfId="19" applyFont="1" applyFill="1"/>
    <xf numFmtId="164" fontId="5" fillId="6" borderId="0" xfId="19" applyFont="1" applyFill="1" applyAlignment="1">
      <alignment horizontal="center" vertical="center"/>
    </xf>
    <xf numFmtId="164" fontId="5" fillId="6" borderId="0" xfId="19" applyFont="1" applyFill="1" applyBorder="1"/>
    <xf numFmtId="164" fontId="5" fillId="0" borderId="0" xfId="19" applyFont="1"/>
    <xf numFmtId="164" fontId="24" fillId="13" borderId="0" xfId="19" applyFont="1" applyFill="1"/>
    <xf numFmtId="164" fontId="16" fillId="11" borderId="0" xfId="19" applyFont="1" applyFill="1" applyAlignment="1">
      <alignment horizontal="center"/>
    </xf>
    <xf numFmtId="164" fontId="7" fillId="0" borderId="0" xfId="19" applyFont="1"/>
    <xf numFmtId="164" fontId="26" fillId="6" borderId="0" xfId="19" applyFont="1" applyFill="1" applyBorder="1" applyAlignment="1">
      <alignment horizontal="center" vertical="center"/>
    </xf>
    <xf numFmtId="164" fontId="2" fillId="7" borderId="4" xfId="19" applyFont="1" applyFill="1" applyBorder="1"/>
    <xf numFmtId="9" fontId="5" fillId="2" borderId="0" xfId="3" applyFont="1" applyFill="1" applyBorder="1"/>
    <xf numFmtId="9" fontId="5" fillId="6" borderId="0" xfId="3" applyFont="1" applyFill="1" applyBorder="1"/>
    <xf numFmtId="9" fontId="5" fillId="6" borderId="0" xfId="3" applyFont="1" applyFill="1" applyAlignment="1">
      <alignment horizontal="center" vertical="center"/>
    </xf>
    <xf numFmtId="0" fontId="7" fillId="10" borderId="0" xfId="4" applyFont="1" applyFill="1"/>
    <xf numFmtId="9" fontId="7" fillId="6" borderId="0" xfId="3" applyFont="1" applyFill="1" applyBorder="1" applyAlignment="1">
      <alignment horizontal="center"/>
    </xf>
    <xf numFmtId="172" fontId="22" fillId="15" borderId="6" xfId="4" applyNumberFormat="1" applyFont="1" applyFill="1" applyBorder="1"/>
    <xf numFmtId="0" fontId="5" fillId="0" borderId="0" xfId="0" applyFont="1"/>
    <xf numFmtId="0" fontId="45" fillId="7" borderId="3" xfId="4" applyFont="1" applyFill="1" applyBorder="1" applyAlignment="1">
      <alignment horizontal="left"/>
    </xf>
    <xf numFmtId="0" fontId="45" fillId="7" borderId="4" xfId="4" applyFont="1" applyFill="1" applyBorder="1"/>
    <xf numFmtId="164" fontId="45" fillId="7" borderId="4" xfId="19" applyFont="1" applyFill="1" applyBorder="1"/>
    <xf numFmtId="172" fontId="45" fillId="7" borderId="6" xfId="4" applyNumberFormat="1" applyFont="1" applyFill="1" applyBorder="1"/>
    <xf numFmtId="3" fontId="7" fillId="0" borderId="0" xfId="0" applyNumberFormat="1" applyFont="1"/>
    <xf numFmtId="3" fontId="7" fillId="0" borderId="0" xfId="0" applyNumberFormat="1" applyFont="1" applyAlignment="1">
      <alignment horizontal="right"/>
    </xf>
    <xf numFmtId="9" fontId="7" fillId="0" borderId="0" xfId="3" applyFont="1"/>
    <xf numFmtId="3" fontId="15" fillId="11" borderId="0" xfId="0" applyNumberFormat="1" applyFont="1" applyFill="1"/>
    <xf numFmtId="41" fontId="5" fillId="0" borderId="0" xfId="0" applyNumberFormat="1" applyFont="1"/>
    <xf numFmtId="3" fontId="15" fillId="11" borderId="3" xfId="0" applyNumberFormat="1" applyFont="1" applyFill="1" applyBorder="1"/>
    <xf numFmtId="3" fontId="15" fillId="11" borderId="4" xfId="0" applyNumberFormat="1" applyFont="1" applyFill="1" applyBorder="1" applyAlignment="1">
      <alignment horizontal="right" indent="1"/>
    </xf>
    <xf numFmtId="3" fontId="15" fillId="11" borderId="5" xfId="0" applyNumberFormat="1" applyFont="1" applyFill="1" applyBorder="1"/>
    <xf numFmtId="172" fontId="2" fillId="7" borderId="3" xfId="4" applyNumberFormat="1" applyFont="1" applyFill="1" applyBorder="1"/>
    <xf numFmtId="172" fontId="2" fillId="7" borderId="4" xfId="4" applyNumberFormat="1" applyFont="1" applyFill="1" applyBorder="1"/>
    <xf numFmtId="41" fontId="2" fillId="7" borderId="6" xfId="20" applyFont="1" applyFill="1" applyBorder="1"/>
    <xf numFmtId="3" fontId="15" fillId="11" borderId="0" xfId="0" applyNumberFormat="1" applyFont="1" applyFill="1" applyAlignment="1">
      <alignment horizontal="center"/>
    </xf>
    <xf numFmtId="3" fontId="15" fillId="11" borderId="0" xfId="0" applyNumberFormat="1" applyFont="1" applyFill="1" applyAlignment="1">
      <alignment horizontal="left" indent="2"/>
    </xf>
    <xf numFmtId="9" fontId="15" fillId="11" borderId="0" xfId="3" applyFont="1" applyFill="1" applyAlignment="1">
      <alignment horizontal="center"/>
    </xf>
    <xf numFmtId="3" fontId="15" fillId="11" borderId="0" xfId="0" applyNumberFormat="1" applyFont="1" applyFill="1" applyAlignment="1">
      <alignment horizontal="right"/>
    </xf>
    <xf numFmtId="0" fontId="5" fillId="0" borderId="0" xfId="0" applyFont="1" applyAlignment="1">
      <alignment horizontal="left"/>
    </xf>
    <xf numFmtId="172" fontId="45" fillId="7" borderId="3" xfId="4" applyNumberFormat="1" applyFont="1" applyFill="1" applyBorder="1"/>
    <xf numFmtId="172" fontId="45" fillId="7" borderId="4" xfId="4" applyNumberFormat="1" applyFont="1" applyFill="1" applyBorder="1"/>
    <xf numFmtId="164" fontId="47" fillId="0" borderId="0" xfId="19" applyFont="1"/>
    <xf numFmtId="41" fontId="45" fillId="7" borderId="6" xfId="20" applyFont="1" applyFill="1" applyBorder="1"/>
    <xf numFmtId="164" fontId="5" fillId="0" borderId="0" xfId="4" applyNumberFormat="1" applyFont="1"/>
    <xf numFmtId="164" fontId="46" fillId="16" borderId="0" xfId="19" applyFont="1" applyFill="1" applyBorder="1" applyAlignment="1">
      <alignment horizontal="center" vertical="center"/>
    </xf>
    <xf numFmtId="41" fontId="46" fillId="16" borderId="0" xfId="20" applyFont="1" applyFill="1" applyAlignment="1">
      <alignment horizontal="center" vertical="center"/>
    </xf>
    <xf numFmtId="41" fontId="46" fillId="16" borderId="0" xfId="20" applyFont="1" applyFill="1" applyBorder="1" applyAlignment="1">
      <alignment horizontal="center" vertical="center"/>
    </xf>
    <xf numFmtId="41" fontId="46" fillId="16" borderId="0" xfId="20" applyFont="1" applyFill="1" applyBorder="1" applyAlignment="1">
      <alignment horizontal="center" vertical="center" wrapText="1"/>
    </xf>
    <xf numFmtId="41" fontId="48" fillId="6" borderId="0" xfId="20" applyFont="1" applyFill="1" applyBorder="1" applyAlignment="1">
      <alignment vertical="center"/>
    </xf>
    <xf numFmtId="164" fontId="46" fillId="6" borderId="0" xfId="19" applyFont="1" applyFill="1" applyAlignment="1">
      <alignment horizontal="center" vertical="center"/>
    </xf>
    <xf numFmtId="41" fontId="46" fillId="6" borderId="0" xfId="20" applyFont="1" applyFill="1" applyAlignment="1">
      <alignment horizontal="center" vertical="center"/>
    </xf>
    <xf numFmtId="172" fontId="46" fillId="6" borderId="0" xfId="20" applyNumberFormat="1" applyFont="1" applyFill="1" applyAlignment="1">
      <alignment horizontal="center" vertical="center"/>
    </xf>
    <xf numFmtId="10" fontId="7" fillId="8" borderId="0" xfId="3" applyNumberFormat="1" applyFont="1" applyFill="1"/>
    <xf numFmtId="9" fontId="7" fillId="0" borderId="0" xfId="3" applyFont="1" applyFill="1" applyAlignment="1">
      <alignment vertical="center"/>
    </xf>
    <xf numFmtId="3" fontId="16" fillId="11" borderId="0" xfId="4" applyNumberFormat="1" applyFont="1" applyFill="1" applyAlignment="1">
      <alignment horizontal="center" vertical="center"/>
    </xf>
    <xf numFmtId="164" fontId="51" fillId="0" borderId="2" xfId="19" applyFont="1" applyFill="1" applyBorder="1"/>
    <xf numFmtId="164" fontId="45" fillId="7" borderId="6" xfId="19" applyFont="1" applyFill="1" applyBorder="1"/>
    <xf numFmtId="9" fontId="23" fillId="5" borderId="0" xfId="4" applyNumberFormat="1" applyFont="1" applyFill="1" applyAlignment="1">
      <alignment horizontal="center"/>
    </xf>
    <xf numFmtId="9" fontId="23" fillId="5" borderId="0" xfId="0" applyNumberFormat="1" applyFont="1" applyFill="1" applyAlignment="1">
      <alignment horizontal="center"/>
    </xf>
    <xf numFmtId="0" fontId="47" fillId="0" borderId="0" xfId="4" applyFont="1" applyAlignment="1">
      <alignment horizontal="left" vertical="center"/>
    </xf>
    <xf numFmtId="3" fontId="52" fillId="11" borderId="0" xfId="0" applyNumberFormat="1" applyFont="1" applyFill="1" applyAlignment="1">
      <alignment vertical="center"/>
    </xf>
    <xf numFmtId="0" fontId="47" fillId="0" borderId="0" xfId="4" applyFont="1" applyAlignment="1">
      <alignment vertical="center"/>
    </xf>
    <xf numFmtId="0" fontId="4" fillId="0" borderId="0" xfId="4" applyAlignment="1">
      <alignment horizontal="center"/>
    </xf>
    <xf numFmtId="0" fontId="14" fillId="7" borderId="7" xfId="4" applyFont="1" applyFill="1" applyBorder="1" applyAlignment="1">
      <alignment horizontal="left"/>
    </xf>
    <xf numFmtId="0" fontId="7" fillId="0" borderId="8" xfId="4" applyFont="1" applyBorder="1" applyAlignment="1">
      <alignment horizontal="left" indent="1"/>
    </xf>
    <xf numFmtId="41" fontId="5" fillId="0" borderId="9" xfId="20" applyFont="1" applyFill="1" applyBorder="1" applyAlignment="1">
      <alignment horizontal="center"/>
    </xf>
    <xf numFmtId="0" fontId="7" fillId="0" borderId="10" xfId="4" applyFont="1" applyBorder="1" applyAlignment="1">
      <alignment horizontal="left" indent="1"/>
    </xf>
    <xf numFmtId="41" fontId="7" fillId="0" borderId="12" xfId="20" applyFont="1" applyFill="1" applyBorder="1" applyAlignment="1">
      <alignment horizontal="center"/>
    </xf>
    <xf numFmtId="9" fontId="5" fillId="0" borderId="12" xfId="3" applyFont="1" applyFill="1" applyBorder="1" applyAlignment="1">
      <alignment horizontal="right"/>
    </xf>
    <xf numFmtId="0" fontId="7" fillId="39" borderId="7" xfId="4" applyFont="1" applyFill="1" applyBorder="1"/>
    <xf numFmtId="0" fontId="5" fillId="39" borderId="24" xfId="4" applyFont="1" applyFill="1" applyBorder="1"/>
    <xf numFmtId="0" fontId="7" fillId="0" borderId="15" xfId="4" applyFont="1" applyBorder="1"/>
    <xf numFmtId="41" fontId="5" fillId="0" borderId="14" xfId="20" applyFont="1" applyFill="1" applyBorder="1" applyAlignment="1">
      <alignment horizontal="center"/>
    </xf>
    <xf numFmtId="0" fontId="7" fillId="0" borderId="8" xfId="4" applyFont="1" applyBorder="1"/>
    <xf numFmtId="0" fontId="7" fillId="0" borderId="10" xfId="4" applyFont="1" applyBorder="1"/>
    <xf numFmtId="41" fontId="5" fillId="0" borderId="12" xfId="20" applyFont="1" applyFill="1" applyBorder="1" applyAlignment="1">
      <alignment horizontal="center"/>
    </xf>
    <xf numFmtId="0" fontId="7" fillId="0" borderId="15" xfId="4" applyFont="1" applyBorder="1" applyAlignment="1">
      <alignment horizontal="left" indent="1"/>
    </xf>
    <xf numFmtId="0" fontId="5" fillId="0" borderId="14" xfId="4" applyFont="1" applyBorder="1" applyAlignment="1">
      <alignment horizontal="right"/>
    </xf>
    <xf numFmtId="0" fontId="5" fillId="0" borderId="9" xfId="4" applyFont="1" applyBorder="1" applyAlignment="1">
      <alignment horizontal="right"/>
    </xf>
    <xf numFmtId="0" fontId="5" fillId="0" borderId="12" xfId="4" applyFont="1" applyBorder="1" applyAlignment="1">
      <alignment horizontal="right"/>
    </xf>
    <xf numFmtId="164" fontId="44" fillId="6" borderId="0" xfId="19" applyFont="1" applyFill="1" applyBorder="1"/>
    <xf numFmtId="0" fontId="44" fillId="6" borderId="0" xfId="4" applyFont="1" applyFill="1" applyAlignment="1">
      <alignment horizontal="left"/>
    </xf>
    <xf numFmtId="171" fontId="44" fillId="6" borderId="0" xfId="2" applyNumberFormat="1" applyFont="1" applyFill="1" applyBorder="1" applyAlignment="1">
      <alignment horizontal="left"/>
    </xf>
    <xf numFmtId="171" fontId="44" fillId="6" borderId="0" xfId="2" applyNumberFormat="1" applyFont="1" applyFill="1" applyBorder="1" applyAlignment="1"/>
    <xf numFmtId="2" fontId="43" fillId="6" borderId="0" xfId="1" applyNumberFormat="1" applyFont="1" applyFill="1" applyBorder="1" applyAlignment="1">
      <alignment horizontal="right"/>
    </xf>
    <xf numFmtId="0" fontId="48" fillId="6" borderId="0" xfId="4" applyFont="1" applyFill="1" applyAlignment="1">
      <alignment horizontal="left"/>
    </xf>
    <xf numFmtId="171" fontId="48" fillId="6" borderId="0" xfId="2" applyNumberFormat="1" applyFont="1" applyFill="1" applyBorder="1" applyAlignment="1">
      <alignment horizontal="left"/>
    </xf>
    <xf numFmtId="164" fontId="43" fillId="6" borderId="6" xfId="19" applyFont="1" applyFill="1" applyBorder="1" applyAlignment="1">
      <alignment horizontal="right"/>
    </xf>
    <xf numFmtId="14" fontId="2" fillId="7" borderId="24" xfId="4" applyNumberFormat="1" applyFont="1" applyFill="1" applyBorder="1" applyAlignment="1">
      <alignment horizontal="right"/>
    </xf>
    <xf numFmtId="173" fontId="7" fillId="2" borderId="0" xfId="3" applyNumberFormat="1" applyFont="1" applyFill="1" applyBorder="1" applyAlignment="1">
      <alignment horizontal="right" vertical="center"/>
    </xf>
    <xf numFmtId="0" fontId="2" fillId="7" borderId="28" xfId="4" applyFont="1" applyFill="1" applyBorder="1" applyAlignment="1">
      <alignment horizontal="left"/>
    </xf>
    <xf numFmtId="0" fontId="2" fillId="7" borderId="29" xfId="4" applyFont="1" applyFill="1" applyBorder="1"/>
    <xf numFmtId="173" fontId="2" fillId="7" borderId="29" xfId="4" applyNumberFormat="1" applyFont="1" applyFill="1" applyBorder="1"/>
    <xf numFmtId="4" fontId="48" fillId="6" borderId="0" xfId="4" applyNumberFormat="1" applyFont="1" applyFill="1" applyAlignment="1">
      <alignment horizontal="left"/>
    </xf>
    <xf numFmtId="173" fontId="48" fillId="6" borderId="0" xfId="3" applyNumberFormat="1" applyFont="1" applyFill="1" applyBorder="1" applyAlignment="1"/>
    <xf numFmtId="164" fontId="48" fillId="6" borderId="0" xfId="19" applyFont="1" applyFill="1" applyBorder="1"/>
    <xf numFmtId="0" fontId="53" fillId="3" borderId="1" xfId="12" applyFont="1" applyFill="1" applyBorder="1" applyAlignment="1">
      <alignment horizontal="left" vertical="center"/>
    </xf>
    <xf numFmtId="3" fontId="52" fillId="11" borderId="2" xfId="4" applyNumberFormat="1" applyFont="1" applyFill="1" applyBorder="1" applyAlignment="1">
      <alignment horizontal="left" vertical="center"/>
    </xf>
    <xf numFmtId="164" fontId="52" fillId="11" borderId="2" xfId="19" applyFont="1" applyFill="1" applyBorder="1" applyAlignment="1">
      <alignment horizontal="left" vertical="center"/>
    </xf>
    <xf numFmtId="0" fontId="44" fillId="0" borderId="11" xfId="4" applyFont="1" applyBorder="1" applyAlignment="1">
      <alignment horizontal="left" vertical="center"/>
    </xf>
    <xf numFmtId="0" fontId="47" fillId="0" borderId="11" xfId="4" applyFont="1" applyBorder="1" applyAlignment="1">
      <alignment vertical="center"/>
    </xf>
    <xf numFmtId="10" fontId="44" fillId="0" borderId="11" xfId="3" applyNumberFormat="1" applyFont="1" applyFill="1" applyBorder="1" applyAlignment="1">
      <alignment vertical="center"/>
    </xf>
    <xf numFmtId="9" fontId="44" fillId="0" borderId="11" xfId="3" applyFont="1" applyFill="1" applyBorder="1" applyAlignment="1">
      <alignment vertical="center"/>
    </xf>
    <xf numFmtId="0" fontId="54" fillId="0" borderId="0" xfId="4" applyFont="1"/>
    <xf numFmtId="41" fontId="55" fillId="0" borderId="0" xfId="20" applyFont="1"/>
    <xf numFmtId="0" fontId="54" fillId="0" borderId="0" xfId="4" applyFont="1" applyAlignment="1">
      <alignment horizontal="center"/>
    </xf>
    <xf numFmtId="164" fontId="54" fillId="0" borderId="0" xfId="19" applyFont="1"/>
    <xf numFmtId="178" fontId="56" fillId="0" borderId="0" xfId="19" applyNumberFormat="1" applyFont="1"/>
    <xf numFmtId="177" fontId="57" fillId="0" borderId="0" xfId="19" applyNumberFormat="1" applyFont="1"/>
    <xf numFmtId="0" fontId="58" fillId="40" borderId="26" xfId="4" applyFont="1" applyFill="1" applyBorder="1" applyAlignment="1">
      <alignment horizontal="left" vertical="center"/>
    </xf>
    <xf numFmtId="14" fontId="58" fillId="40" borderId="28" xfId="4" applyNumberFormat="1" applyFont="1" applyFill="1" applyBorder="1" applyAlignment="1">
      <alignment horizontal="center" vertical="center"/>
    </xf>
    <xf numFmtId="0" fontId="58" fillId="40" borderId="28" xfId="4" applyFont="1" applyFill="1" applyBorder="1" applyAlignment="1">
      <alignment horizontal="center" vertical="center"/>
    </xf>
    <xf numFmtId="0" fontId="58" fillId="40" borderId="27" xfId="4" applyFont="1" applyFill="1" applyBorder="1" applyAlignment="1">
      <alignment horizontal="right" vertical="center"/>
    </xf>
    <xf numFmtId="0" fontId="59" fillId="0" borderId="0" xfId="4" applyFont="1"/>
    <xf numFmtId="0" fontId="60" fillId="0" borderId="0" xfId="4" applyFont="1"/>
    <xf numFmtId="41" fontId="61" fillId="0" borderId="0" xfId="20" applyFont="1" applyBorder="1" applyAlignment="1"/>
    <xf numFmtId="164" fontId="61" fillId="0" borderId="0" xfId="19" applyFont="1" applyBorder="1" applyAlignment="1"/>
    <xf numFmtId="164" fontId="60" fillId="0" borderId="0" xfId="19" applyFont="1" applyBorder="1"/>
    <xf numFmtId="41" fontId="61" fillId="0" borderId="0" xfId="20" applyFont="1"/>
    <xf numFmtId="43" fontId="60" fillId="0" borderId="0" xfId="2" applyFont="1"/>
    <xf numFmtId="164" fontId="60" fillId="0" borderId="0" xfId="19" applyFont="1"/>
    <xf numFmtId="43" fontId="60" fillId="0" borderId="0" xfId="2" applyFont="1" applyAlignment="1">
      <alignment horizontal="center" vertical="center"/>
    </xf>
    <xf numFmtId="41" fontId="61" fillId="0" borderId="0" xfId="20" applyFont="1" applyAlignment="1">
      <alignment vertical="center"/>
    </xf>
    <xf numFmtId="41" fontId="62" fillId="0" borderId="0" xfId="20" applyFont="1"/>
    <xf numFmtId="0" fontId="63" fillId="5" borderId="28" xfId="4" applyFont="1" applyFill="1" applyBorder="1" applyAlignment="1">
      <alignment horizontal="left" vertical="center"/>
    </xf>
    <xf numFmtId="41" fontId="62" fillId="5" borderId="28" xfId="20" applyFont="1" applyFill="1" applyBorder="1" applyAlignment="1">
      <alignment horizontal="left" vertical="center"/>
    </xf>
    <xf numFmtId="0" fontId="62" fillId="5" borderId="28" xfId="4" applyFont="1" applyFill="1" applyBorder="1" applyAlignment="1">
      <alignment horizontal="left" vertical="center"/>
    </xf>
    <xf numFmtId="0" fontId="62" fillId="5" borderId="28" xfId="4" applyFont="1" applyFill="1" applyBorder="1" applyAlignment="1">
      <alignment horizontal="center" vertical="center"/>
    </xf>
    <xf numFmtId="164" fontId="63" fillId="5" borderId="28" xfId="19" applyFont="1" applyFill="1" applyBorder="1" applyAlignment="1">
      <alignment horizontal="left" vertical="center"/>
    </xf>
    <xf numFmtId="177" fontId="64" fillId="5" borderId="28" xfId="19" applyNumberFormat="1" applyFont="1" applyFill="1" applyBorder="1" applyAlignment="1">
      <alignment horizontal="left" vertical="center"/>
    </xf>
    <xf numFmtId="9" fontId="59" fillId="0" borderId="0" xfId="3" applyFont="1" applyAlignment="1">
      <alignment horizontal="center"/>
    </xf>
    <xf numFmtId="0" fontId="59" fillId="0" borderId="0" xfId="4" applyFont="1" applyAlignment="1">
      <alignment horizontal="left"/>
    </xf>
    <xf numFmtId="164" fontId="63" fillId="0" borderId="0" xfId="19" applyFont="1"/>
    <xf numFmtId="177" fontId="65" fillId="0" borderId="0" xfId="19" applyNumberFormat="1" applyFont="1"/>
    <xf numFmtId="3" fontId="59" fillId="0" borderId="0" xfId="4" applyNumberFormat="1" applyFont="1"/>
    <xf numFmtId="0" fontId="59" fillId="0" borderId="0" xfId="4" applyFont="1" applyAlignment="1">
      <alignment horizontal="center"/>
    </xf>
    <xf numFmtId="4" fontId="59" fillId="0" borderId="0" xfId="4" applyNumberFormat="1" applyFont="1"/>
    <xf numFmtId="1" fontId="62" fillId="0" borderId="0" xfId="4" applyNumberFormat="1" applyFont="1" applyAlignment="1">
      <alignment horizontal="right"/>
    </xf>
    <xf numFmtId="9" fontId="66" fillId="0" borderId="0" xfId="4" applyNumberFormat="1" applyFont="1" applyAlignment="1">
      <alignment horizontal="right"/>
    </xf>
    <xf numFmtId="0" fontId="66" fillId="0" borderId="0" xfId="4" applyFont="1"/>
    <xf numFmtId="164" fontId="67" fillId="0" borderId="0" xfId="19" applyFont="1"/>
    <xf numFmtId="9" fontId="59" fillId="0" borderId="0" xfId="4" applyNumberFormat="1" applyFont="1"/>
    <xf numFmtId="9" fontId="66" fillId="0" borderId="0" xfId="4" applyNumberFormat="1" applyFont="1"/>
    <xf numFmtId="0" fontId="68" fillId="0" borderId="0" xfId="4" applyFont="1"/>
    <xf numFmtId="9" fontId="62" fillId="0" borderId="0" xfId="3" applyFont="1" applyAlignment="1">
      <alignment horizontal="center"/>
    </xf>
    <xf numFmtId="9" fontId="63" fillId="0" borderId="0" xfId="3" applyFont="1"/>
    <xf numFmtId="0" fontId="65" fillId="0" borderId="0" xfId="4" applyFont="1"/>
    <xf numFmtId="164" fontId="59" fillId="0" borderId="0" xfId="19" applyFont="1"/>
    <xf numFmtId="177" fontId="65" fillId="5" borderId="28" xfId="19" applyNumberFormat="1" applyFont="1" applyFill="1" applyBorder="1" applyAlignment="1">
      <alignment horizontal="left" vertical="center"/>
    </xf>
    <xf numFmtId="0" fontId="59" fillId="0" borderId="0" xfId="4" applyFont="1" applyAlignment="1">
      <alignment horizontal="right"/>
    </xf>
    <xf numFmtId="4" fontId="48" fillId="6" borderId="30" xfId="4" applyNumberFormat="1" applyFont="1" applyFill="1" applyBorder="1" applyAlignment="1">
      <alignment horizontal="left"/>
    </xf>
    <xf numFmtId="173" fontId="48" fillId="6" borderId="31" xfId="3" applyNumberFormat="1" applyFont="1" applyFill="1" applyBorder="1" applyAlignment="1"/>
    <xf numFmtId="164" fontId="48" fillId="6" borderId="32" xfId="19" applyFont="1" applyFill="1" applyBorder="1"/>
    <xf numFmtId="4" fontId="48" fillId="6" borderId="8" xfId="4" applyNumberFormat="1" applyFont="1" applyFill="1" applyBorder="1" applyAlignment="1">
      <alignment horizontal="left"/>
    </xf>
    <xf numFmtId="0" fontId="14" fillId="7" borderId="3" xfId="4" applyFont="1" applyFill="1" applyBorder="1" applyAlignment="1">
      <alignment horizontal="left"/>
    </xf>
    <xf numFmtId="0" fontId="14" fillId="7" borderId="4" xfId="4" applyFont="1" applyFill="1" applyBorder="1" applyAlignment="1">
      <alignment horizontal="left"/>
    </xf>
    <xf numFmtId="0" fontId="5" fillId="39" borderId="31" xfId="4" applyFont="1" applyFill="1" applyBorder="1"/>
    <xf numFmtId="0" fontId="5" fillId="39" borderId="0" xfId="4" applyFont="1" applyFill="1"/>
    <xf numFmtId="164" fontId="48" fillId="6" borderId="9" xfId="19" applyFont="1" applyFill="1" applyBorder="1"/>
    <xf numFmtId="0" fontId="14" fillId="7" borderId="4" xfId="4" applyFont="1" applyFill="1" applyBorder="1"/>
    <xf numFmtId="164" fontId="14" fillId="7" borderId="5" xfId="19" applyFont="1" applyFill="1" applyBorder="1"/>
    <xf numFmtId="10" fontId="5" fillId="5" borderId="0" xfId="4" applyNumberFormat="1" applyFont="1" applyFill="1"/>
    <xf numFmtId="0" fontId="8" fillId="3" borderId="30" xfId="4" applyFont="1" applyFill="1" applyBorder="1" applyAlignment="1">
      <alignment horizontal="left"/>
    </xf>
    <xf numFmtId="0" fontId="8" fillId="3" borderId="31" xfId="4" applyFont="1" applyFill="1" applyBorder="1"/>
    <xf numFmtId="164" fontId="7" fillId="3" borderId="31" xfId="19" applyFont="1" applyFill="1" applyBorder="1" applyAlignment="1">
      <alignment horizontal="center"/>
    </xf>
    <xf numFmtId="0" fontId="7" fillId="3" borderId="31" xfId="4" applyFont="1" applyFill="1" applyBorder="1" applyAlignment="1">
      <alignment horizontal="center"/>
    </xf>
    <xf numFmtId="0" fontId="7" fillId="3" borderId="32" xfId="4" applyFont="1" applyFill="1" applyBorder="1" applyAlignment="1">
      <alignment horizontal="center"/>
    </xf>
    <xf numFmtId="0" fontId="5" fillId="3" borderId="10" xfId="4" applyFont="1" applyFill="1" applyBorder="1" applyAlignment="1">
      <alignment horizontal="left"/>
    </xf>
    <xf numFmtId="0" fontId="5" fillId="3" borderId="11" xfId="4" applyFont="1" applyFill="1" applyBorder="1" applyAlignment="1">
      <alignment horizontal="left"/>
    </xf>
    <xf numFmtId="0" fontId="5" fillId="3" borderId="11" xfId="4" applyFont="1" applyFill="1" applyBorder="1"/>
    <xf numFmtId="164" fontId="7" fillId="3" borderId="11" xfId="19" applyFont="1" applyFill="1" applyBorder="1" applyAlignment="1">
      <alignment horizontal="center"/>
    </xf>
    <xf numFmtId="0" fontId="7" fillId="3" borderId="11" xfId="4" applyFont="1" applyFill="1" applyBorder="1" applyAlignment="1">
      <alignment horizontal="center"/>
    </xf>
    <xf numFmtId="0" fontId="7" fillId="3" borderId="12" xfId="4" applyFont="1" applyFill="1" applyBorder="1" applyAlignment="1">
      <alignment horizontal="center"/>
    </xf>
    <xf numFmtId="0" fontId="44" fillId="41" borderId="3" xfId="4" applyFont="1" applyFill="1" applyBorder="1" applyAlignment="1">
      <alignment horizontal="left"/>
    </xf>
    <xf numFmtId="171" fontId="44" fillId="41" borderId="4" xfId="2" applyNumberFormat="1" applyFont="1" applyFill="1" applyBorder="1" applyAlignment="1">
      <alignment horizontal="left"/>
    </xf>
    <xf numFmtId="171" fontId="44" fillId="41" borderId="4" xfId="2" applyNumberFormat="1" applyFont="1" applyFill="1" applyBorder="1" applyAlignment="1"/>
    <xf numFmtId="164" fontId="48" fillId="41" borderId="4" xfId="19" applyFont="1" applyFill="1" applyBorder="1" applyAlignment="1">
      <alignment horizontal="center"/>
    </xf>
    <xf numFmtId="0" fontId="48" fillId="41" borderId="4" xfId="4" applyFont="1" applyFill="1" applyBorder="1" applyAlignment="1">
      <alignment horizontal="center"/>
    </xf>
    <xf numFmtId="0" fontId="48" fillId="41" borderId="5" xfId="4" applyFont="1" applyFill="1" applyBorder="1" applyAlignment="1">
      <alignment horizontal="center"/>
    </xf>
    <xf numFmtId="9" fontId="48" fillId="6" borderId="0" xfId="3" applyFont="1" applyFill="1" applyBorder="1" applyAlignment="1"/>
    <xf numFmtId="172" fontId="8" fillId="6" borderId="0" xfId="2" applyNumberFormat="1" applyFont="1" applyFill="1" applyBorder="1"/>
    <xf numFmtId="164" fontId="25" fillId="9" borderId="25" xfId="19" applyFont="1" applyFill="1" applyBorder="1" applyAlignment="1">
      <alignment horizontal="center"/>
    </xf>
    <xf numFmtId="0" fontId="25" fillId="12" borderId="26" xfId="4" applyFont="1" applyFill="1" applyBorder="1" applyAlignment="1">
      <alignment horizontal="center"/>
    </xf>
    <xf numFmtId="0" fontId="25" fillId="12" borderId="28" xfId="4" applyFont="1" applyFill="1" applyBorder="1" applyAlignment="1">
      <alignment horizontal="center"/>
    </xf>
    <xf numFmtId="0" fontId="25" fillId="14" borderId="25" xfId="4" applyFont="1" applyFill="1" applyBorder="1" applyAlignment="1">
      <alignment horizontal="center"/>
    </xf>
    <xf numFmtId="164" fontId="5" fillId="43" borderId="26" xfId="19" applyFont="1" applyFill="1" applyBorder="1"/>
    <xf numFmtId="9" fontId="49" fillId="43" borderId="28" xfId="4" applyNumberFormat="1" applyFont="1" applyFill="1" applyBorder="1"/>
    <xf numFmtId="9" fontId="49" fillId="43" borderId="27" xfId="4" applyNumberFormat="1" applyFont="1" applyFill="1" applyBorder="1"/>
    <xf numFmtId="9" fontId="7" fillId="42" borderId="26" xfId="19" applyNumberFormat="1" applyFont="1" applyFill="1" applyBorder="1"/>
    <xf numFmtId="9" fontId="7" fillId="42" borderId="28" xfId="4" applyNumberFormat="1" applyFont="1" applyFill="1" applyBorder="1"/>
    <xf numFmtId="9" fontId="7" fillId="42" borderId="27" xfId="3" applyFont="1" applyFill="1" applyBorder="1"/>
    <xf numFmtId="0" fontId="48" fillId="2" borderId="0" xfId="4" applyFont="1" applyFill="1" applyAlignment="1">
      <alignment horizontal="left"/>
    </xf>
    <xf numFmtId="171" fontId="48" fillId="2" borderId="0" xfId="2" applyNumberFormat="1" applyFont="1" applyFill="1" applyBorder="1" applyAlignment="1">
      <alignment horizontal="left"/>
    </xf>
    <xf numFmtId="171" fontId="48" fillId="2" borderId="0" xfId="2" applyNumberFormat="1" applyFont="1" applyFill="1" applyBorder="1" applyAlignment="1"/>
    <xf numFmtId="164" fontId="14" fillId="7" borderId="6" xfId="19" applyFont="1" applyFill="1" applyBorder="1"/>
    <xf numFmtId="164" fontId="8" fillId="44" borderId="0" xfId="19" applyFont="1" applyFill="1" applyBorder="1"/>
    <xf numFmtId="0" fontId="53" fillId="3" borderId="26" xfId="12" applyFont="1" applyFill="1" applyBorder="1" applyAlignment="1">
      <alignment horizontal="left" vertical="center"/>
    </xf>
    <xf numFmtId="0" fontId="53" fillId="3" borderId="28" xfId="12" applyFont="1" applyFill="1" applyBorder="1" applyAlignment="1">
      <alignment horizontal="left" vertical="center"/>
    </xf>
    <xf numFmtId="0" fontId="48" fillId="3" borderId="27" xfId="12" applyFont="1" applyFill="1" applyBorder="1" applyAlignment="1">
      <alignment horizontal="center" vertical="center"/>
    </xf>
    <xf numFmtId="164" fontId="8" fillId="44" borderId="0" xfId="19" applyFont="1" applyFill="1" applyBorder="1" applyAlignment="1">
      <alignment horizontal="center" vertical="center"/>
    </xf>
    <xf numFmtId="9" fontId="8" fillId="44" borderId="0" xfId="3" applyFont="1" applyFill="1" applyBorder="1" applyAlignment="1">
      <alignment horizontal="right" vertical="center"/>
    </xf>
    <xf numFmtId="164" fontId="7" fillId="44" borderId="0" xfId="19" applyFont="1" applyFill="1" applyBorder="1" applyAlignment="1">
      <alignment horizontal="right"/>
    </xf>
    <xf numFmtId="173" fontId="7" fillId="10" borderId="0" xfId="3" applyNumberFormat="1" applyFont="1" applyFill="1" applyBorder="1" applyAlignment="1">
      <alignment horizontal="right" vertical="center"/>
    </xf>
    <xf numFmtId="164" fontId="7" fillId="10" borderId="0" xfId="19" applyFont="1" applyFill="1" applyBorder="1" applyAlignment="1"/>
    <xf numFmtId="173" fontId="7" fillId="10" borderId="0" xfId="3" applyNumberFormat="1" applyFont="1" applyFill="1" applyBorder="1" applyAlignment="1">
      <alignment horizontal="left" vertical="center"/>
    </xf>
    <xf numFmtId="171" fontId="7" fillId="10" borderId="0" xfId="2" applyNumberFormat="1" applyFont="1" applyFill="1" applyBorder="1" applyAlignment="1">
      <alignment horizontal="left"/>
    </xf>
    <xf numFmtId="164" fontId="7" fillId="10" borderId="0" xfId="19" applyFont="1" applyFill="1" applyBorder="1"/>
    <xf numFmtId="0" fontId="69" fillId="9" borderId="0" xfId="4" applyFont="1" applyFill="1" applyAlignment="1">
      <alignment horizontal="left" vertical="center"/>
    </xf>
    <xf numFmtId="14" fontId="69" fillId="9" borderId="0" xfId="4" applyNumberFormat="1" applyFont="1" applyFill="1" applyAlignment="1">
      <alignment vertical="center"/>
    </xf>
    <xf numFmtId="0" fontId="70" fillId="9" borderId="0" xfId="4" applyFont="1" applyFill="1" applyAlignment="1">
      <alignment vertical="center"/>
    </xf>
    <xf numFmtId="164" fontId="70" fillId="9" borderId="0" xfId="19" applyFont="1" applyFill="1" applyAlignment="1">
      <alignment vertical="center"/>
    </xf>
    <xf numFmtId="14" fontId="71" fillId="9" borderId="0" xfId="4" applyNumberFormat="1" applyFont="1" applyFill="1" applyAlignment="1">
      <alignment vertical="center"/>
    </xf>
    <xf numFmtId="0" fontId="69" fillId="9" borderId="0" xfId="4" applyFont="1" applyFill="1" applyAlignment="1">
      <alignment horizontal="right" vertical="center"/>
    </xf>
    <xf numFmtId="0" fontId="58" fillId="40" borderId="27" xfId="4" applyFont="1" applyFill="1" applyBorder="1" applyAlignment="1">
      <alignment horizontal="center" vertical="center"/>
    </xf>
    <xf numFmtId="4" fontId="8" fillId="0" borderId="2" xfId="4" applyNumberFormat="1" applyFont="1" applyBorder="1"/>
    <xf numFmtId="4" fontId="8" fillId="0" borderId="2" xfId="4" applyNumberFormat="1" applyFont="1" applyBorder="1" applyAlignment="1">
      <alignment horizontal="left"/>
    </xf>
    <xf numFmtId="164" fontId="8" fillId="0" borderId="2" xfId="19" applyFont="1" applyFill="1" applyBorder="1"/>
    <xf numFmtId="9" fontId="7" fillId="0" borderId="11" xfId="3" applyFont="1" applyFill="1" applyBorder="1"/>
    <xf numFmtId="9" fontId="5" fillId="4" borderId="0" xfId="3" applyFont="1" applyFill="1"/>
    <xf numFmtId="9" fontId="5" fillId="0" borderId="0" xfId="3" applyFont="1"/>
    <xf numFmtId="9" fontId="7" fillId="0" borderId="0" xfId="3" applyFont="1" applyAlignment="1">
      <alignment horizontal="center"/>
    </xf>
    <xf numFmtId="172" fontId="11" fillId="15" borderId="6" xfId="4" applyNumberFormat="1" applyFont="1" applyFill="1" applyBorder="1" applyAlignment="1">
      <alignment horizontal="right"/>
    </xf>
    <xf numFmtId="41" fontId="8" fillId="3" borderId="6" xfId="20" applyFont="1" applyFill="1" applyBorder="1" applyAlignment="1">
      <alignment horizontal="right"/>
    </xf>
    <xf numFmtId="9" fontId="7" fillId="0" borderId="0" xfId="3" applyFont="1" applyAlignment="1">
      <alignment horizontal="right"/>
    </xf>
    <xf numFmtId="3" fontId="52" fillId="12" borderId="2" xfId="4" applyNumberFormat="1" applyFont="1" applyFill="1" applyBorder="1"/>
    <xf numFmtId="164" fontId="52" fillId="12" borderId="2" xfId="19" applyFont="1" applyFill="1" applyBorder="1" applyAlignment="1"/>
    <xf numFmtId="3" fontId="15" fillId="12" borderId="0" xfId="0" applyNumberFormat="1" applyFont="1" applyFill="1"/>
    <xf numFmtId="3" fontId="15" fillId="12" borderId="0" xfId="0" applyNumberFormat="1" applyFont="1" applyFill="1" applyAlignment="1">
      <alignment horizontal="right" indent="1"/>
    </xf>
    <xf numFmtId="3" fontId="52" fillId="38" borderId="0" xfId="0" applyNumberFormat="1" applyFont="1" applyFill="1"/>
    <xf numFmtId="9" fontId="52" fillId="38" borderId="0" xfId="3" applyFont="1" applyFill="1" applyAlignment="1">
      <alignment horizontal="center"/>
    </xf>
    <xf numFmtId="0" fontId="47" fillId="0" borderId="0" xfId="4" applyFont="1"/>
    <xf numFmtId="9" fontId="52" fillId="38" borderId="0" xfId="3" applyFont="1" applyFill="1" applyAlignment="1">
      <alignment horizontal="right"/>
    </xf>
    <xf numFmtId="164" fontId="7" fillId="0" borderId="0" xfId="4" applyNumberFormat="1" applyFont="1"/>
    <xf numFmtId="170" fontId="7" fillId="0" borderId="0" xfId="2" applyNumberFormat="1" applyFont="1"/>
    <xf numFmtId="9" fontId="7" fillId="2" borderId="0" xfId="3" applyFont="1" applyFill="1" applyBorder="1"/>
    <xf numFmtId="0" fontId="44" fillId="0" borderId="0" xfId="4" applyFont="1"/>
    <xf numFmtId="164" fontId="14" fillId="7" borderId="3" xfId="19" applyFont="1" applyFill="1" applyBorder="1"/>
    <xf numFmtId="9" fontId="45" fillId="7" borderId="4" xfId="3" applyFont="1" applyFill="1" applyBorder="1" applyAlignment="1">
      <alignment horizontal="center"/>
    </xf>
    <xf numFmtId="4" fontId="23" fillId="9" borderId="26" xfId="4" applyNumberFormat="1" applyFont="1" applyFill="1" applyBorder="1" applyAlignment="1">
      <alignment horizontal="left"/>
    </xf>
    <xf numFmtId="4" fontId="9" fillId="2" borderId="8" xfId="4" applyNumberFormat="1" applyFont="1" applyFill="1" applyBorder="1" applyAlignment="1">
      <alignment horizontal="left"/>
    </xf>
    <xf numFmtId="4" fontId="5" fillId="0" borderId="8" xfId="4" applyNumberFormat="1" applyFont="1" applyBorder="1"/>
    <xf numFmtId="9" fontId="5" fillId="0" borderId="8" xfId="3" applyFont="1" applyFill="1" applyBorder="1" applyAlignment="1"/>
    <xf numFmtId="41" fontId="23" fillId="16" borderId="26" xfId="20" applyFont="1" applyFill="1" applyBorder="1" applyAlignment="1">
      <alignment vertical="center"/>
    </xf>
    <xf numFmtId="170" fontId="5" fillId="8" borderId="28" xfId="2" applyNumberFormat="1" applyFont="1" applyFill="1" applyBorder="1"/>
    <xf numFmtId="170" fontId="5" fillId="0" borderId="28" xfId="2" applyNumberFormat="1" applyFont="1" applyFill="1" applyBorder="1"/>
    <xf numFmtId="170" fontId="5" fillId="0" borderId="28" xfId="2" applyNumberFormat="1" applyFont="1" applyBorder="1"/>
    <xf numFmtId="170" fontId="5" fillId="0" borderId="27" xfId="2" applyNumberFormat="1" applyFont="1" applyBorder="1"/>
    <xf numFmtId="170" fontId="7" fillId="8" borderId="28" xfId="2" applyNumberFormat="1" applyFont="1" applyFill="1" applyBorder="1"/>
    <xf numFmtId="170" fontId="5" fillId="0" borderId="27" xfId="2" applyNumberFormat="1" applyFont="1" applyFill="1" applyBorder="1"/>
    <xf numFmtId="170" fontId="7" fillId="8" borderId="0" xfId="2" applyNumberFormat="1" applyFont="1" applyFill="1" applyBorder="1"/>
    <xf numFmtId="170" fontId="5" fillId="0" borderId="0" xfId="2" applyNumberFormat="1" applyFont="1" applyFill="1" applyBorder="1"/>
    <xf numFmtId="170" fontId="5" fillId="0" borderId="9" xfId="2" applyNumberFormat="1" applyFont="1" applyFill="1" applyBorder="1"/>
    <xf numFmtId="170" fontId="5" fillId="0" borderId="0" xfId="2" applyNumberFormat="1" applyFont="1" applyBorder="1"/>
    <xf numFmtId="170" fontId="5" fillId="0" borderId="9" xfId="2" applyNumberFormat="1" applyFont="1" applyBorder="1"/>
    <xf numFmtId="170" fontId="48" fillId="16" borderId="28" xfId="2" applyNumberFormat="1" applyFont="1" applyFill="1" applyBorder="1" applyAlignment="1">
      <alignment horizontal="right" vertical="center"/>
    </xf>
    <xf numFmtId="170" fontId="48" fillId="16" borderId="28" xfId="2" applyNumberFormat="1" applyFont="1" applyFill="1" applyBorder="1" applyAlignment="1">
      <alignment horizontal="center" vertical="center"/>
    </xf>
    <xf numFmtId="170" fontId="48" fillId="16" borderId="27" xfId="2" applyNumberFormat="1" applyFont="1" applyFill="1" applyBorder="1" applyAlignment="1">
      <alignment horizontal="center" vertical="center" wrapText="1"/>
    </xf>
    <xf numFmtId="9" fontId="23" fillId="5" borderId="0" xfId="4" applyNumberFormat="1" applyFont="1" applyFill="1"/>
    <xf numFmtId="9" fontId="5" fillId="0" borderId="0" xfId="3" applyFont="1" applyAlignment="1">
      <alignment horizontal="center"/>
    </xf>
    <xf numFmtId="41" fontId="5" fillId="0" borderId="0" xfId="4" applyNumberFormat="1" applyFont="1" applyAlignment="1">
      <alignment horizontal="center" vertical="center"/>
    </xf>
    <xf numFmtId="43" fontId="5" fillId="0" borderId="0" xfId="2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170" fontId="5" fillId="0" borderId="0" xfId="2" applyNumberFormat="1" applyFont="1" applyAlignment="1">
      <alignment horizontal="center" vertical="center"/>
    </xf>
    <xf numFmtId="43" fontId="5" fillId="0" borderId="0" xfId="2" applyFont="1" applyFill="1" applyAlignment="1">
      <alignment horizontal="center" vertical="center"/>
    </xf>
    <xf numFmtId="9" fontId="5" fillId="0" borderId="0" xfId="3" applyFont="1" applyFill="1" applyAlignment="1">
      <alignment horizontal="center" vertical="center"/>
    </xf>
    <xf numFmtId="172" fontId="48" fillId="6" borderId="0" xfId="20" applyNumberFormat="1" applyFont="1" applyFill="1" applyBorder="1" applyAlignment="1">
      <alignment horizontal="right" vertical="center"/>
    </xf>
    <xf numFmtId="172" fontId="48" fillId="16" borderId="0" xfId="20" applyNumberFormat="1" applyFont="1" applyFill="1" applyBorder="1" applyAlignment="1">
      <alignment horizontal="right" vertical="center"/>
    </xf>
    <xf numFmtId="41" fontId="61" fillId="0" borderId="0" xfId="20" applyFont="1" applyBorder="1" applyAlignment="1">
      <alignment horizontal="center"/>
    </xf>
    <xf numFmtId="164" fontId="61" fillId="0" borderId="0" xfId="19" applyFont="1" applyBorder="1" applyAlignment="1">
      <alignment horizontal="center"/>
    </xf>
    <xf numFmtId="0" fontId="5" fillId="45" borderId="0" xfId="4" applyFont="1" applyFill="1"/>
    <xf numFmtId="9" fontId="5" fillId="45" borderId="0" xfId="3" applyFont="1" applyFill="1" applyAlignment="1">
      <alignment horizontal="center"/>
    </xf>
    <xf numFmtId="3" fontId="7" fillId="10" borderId="0" xfId="0" applyNumberFormat="1" applyFont="1" applyFill="1" applyAlignment="1">
      <alignment horizontal="right"/>
    </xf>
    <xf numFmtId="9" fontId="7" fillId="10" borderId="0" xfId="3" applyFont="1" applyFill="1" applyAlignment="1">
      <alignment horizontal="right"/>
    </xf>
    <xf numFmtId="0" fontId="72" fillId="0" borderId="0" xfId="4" applyFont="1"/>
  </cellXfs>
  <cellStyles count="87">
    <cellStyle name="20% - Accent1" xfId="30" xr:uid="{00000000-0005-0000-0000-000000000000}"/>
    <cellStyle name="20% - Accent2" xfId="31" xr:uid="{00000000-0005-0000-0000-000001000000}"/>
    <cellStyle name="20% - Accent3" xfId="32" xr:uid="{00000000-0005-0000-0000-000002000000}"/>
    <cellStyle name="20% - Accent4" xfId="33" xr:uid="{00000000-0005-0000-0000-000003000000}"/>
    <cellStyle name="20% - Accent5" xfId="34" xr:uid="{00000000-0005-0000-0000-000004000000}"/>
    <cellStyle name="20% - Accent6" xfId="35" xr:uid="{00000000-0005-0000-0000-000005000000}"/>
    <cellStyle name="40% - Accent1" xfId="36" xr:uid="{00000000-0005-0000-0000-000006000000}"/>
    <cellStyle name="40% - Accent2" xfId="37" xr:uid="{00000000-0005-0000-0000-000007000000}"/>
    <cellStyle name="40% - Accent3" xfId="38" xr:uid="{00000000-0005-0000-0000-000008000000}"/>
    <cellStyle name="40% - Accent4" xfId="39" xr:uid="{00000000-0005-0000-0000-000009000000}"/>
    <cellStyle name="40% - Accent5" xfId="40" xr:uid="{00000000-0005-0000-0000-00000A000000}"/>
    <cellStyle name="40% - Accent6" xfId="41" xr:uid="{00000000-0005-0000-0000-00000B000000}"/>
    <cellStyle name="60% - Accent1" xfId="42" xr:uid="{00000000-0005-0000-0000-00000C000000}"/>
    <cellStyle name="60% - Accent2" xfId="43" xr:uid="{00000000-0005-0000-0000-00000D000000}"/>
    <cellStyle name="60% - Accent3" xfId="44" xr:uid="{00000000-0005-0000-0000-00000E000000}"/>
    <cellStyle name="60% - Accent4" xfId="45" xr:uid="{00000000-0005-0000-0000-00000F000000}"/>
    <cellStyle name="60% - Accent5" xfId="46" xr:uid="{00000000-0005-0000-0000-000010000000}"/>
    <cellStyle name="60% - Accent6" xfId="47" xr:uid="{00000000-0005-0000-0000-000011000000}"/>
    <cellStyle name="Accent1" xfId="48" xr:uid="{00000000-0005-0000-0000-000012000000}"/>
    <cellStyle name="Accent2" xfId="49" xr:uid="{00000000-0005-0000-0000-000013000000}"/>
    <cellStyle name="Accent3" xfId="50" xr:uid="{00000000-0005-0000-0000-000014000000}"/>
    <cellStyle name="Accent4" xfId="51" xr:uid="{00000000-0005-0000-0000-000015000000}"/>
    <cellStyle name="Accent5" xfId="52" xr:uid="{00000000-0005-0000-0000-000016000000}"/>
    <cellStyle name="Accent6" xfId="53" xr:uid="{00000000-0005-0000-0000-000017000000}"/>
    <cellStyle name="Bad" xfId="54" xr:uid="{00000000-0005-0000-0000-000018000000}"/>
    <cellStyle name="Calculation" xfId="55" xr:uid="{00000000-0005-0000-0000-000019000000}"/>
    <cellStyle name="Check Cell" xfId="56" xr:uid="{00000000-0005-0000-0000-00001A000000}"/>
    <cellStyle name="Comma 2" xfId="6" xr:uid="{00000000-0005-0000-0000-00001B000000}"/>
    <cellStyle name="Comma 2 2" xfId="7" xr:uid="{00000000-0005-0000-0000-00001C000000}"/>
    <cellStyle name="Deuda por tipo de garantías" xfId="57" xr:uid="{00000000-0005-0000-0000-00001D000000}"/>
    <cellStyle name="Euro" xfId="58" xr:uid="{00000000-0005-0000-0000-00001E000000}"/>
    <cellStyle name="Explanatory Text" xfId="59" xr:uid="{00000000-0005-0000-0000-00001F000000}"/>
    <cellStyle name="Good" xfId="60" xr:uid="{00000000-0005-0000-0000-000020000000}"/>
    <cellStyle name="Heading 1" xfId="61" xr:uid="{00000000-0005-0000-0000-000021000000}"/>
    <cellStyle name="Heading 2" xfId="62" xr:uid="{00000000-0005-0000-0000-000022000000}"/>
    <cellStyle name="Heading 3" xfId="63" xr:uid="{00000000-0005-0000-0000-000023000000}"/>
    <cellStyle name="Heading 4" xfId="64" xr:uid="{00000000-0005-0000-0000-000024000000}"/>
    <cellStyle name="Hipervínculo" xfId="83" builtinId="8" hidden="1"/>
    <cellStyle name="Hipervínculo" xfId="81" builtinId="8" hidden="1"/>
    <cellStyle name="Hipervínculo" xfId="25" builtinId="8" hidden="1"/>
    <cellStyle name="Hipervínculo 2" xfId="65" xr:uid="{00000000-0005-0000-0000-000028000000}"/>
    <cellStyle name="Hipervínculo visitado" xfId="84" builtinId="9" hidden="1"/>
    <cellStyle name="Hipervínculo visitado" xfId="82" builtinId="9" hidden="1"/>
    <cellStyle name="Hipervínculo visitado" xfId="26" builtinId="9" hidden="1"/>
    <cellStyle name="Input" xfId="66" xr:uid="{00000000-0005-0000-0000-00002C000000}"/>
    <cellStyle name="Linked Cell" xfId="67" xr:uid="{00000000-0005-0000-0000-00002D000000}"/>
    <cellStyle name="Millares" xfId="2" builtinId="3"/>
    <cellStyle name="Millares [0]" xfId="19" builtinId="6"/>
    <cellStyle name="Millares [0] 2" xfId="20" xr:uid="{00000000-0005-0000-0000-000030000000}"/>
    <cellStyle name="Millares [0] 3" xfId="23" xr:uid="{00000000-0005-0000-0000-000031000000}"/>
    <cellStyle name="Millares 2" xfId="8" xr:uid="{00000000-0005-0000-0000-000032000000}"/>
    <cellStyle name="Millares 2 2" xfId="22" xr:uid="{00000000-0005-0000-0000-000033000000}"/>
    <cellStyle name="Millares 3" xfId="5" xr:uid="{00000000-0005-0000-0000-000034000000}"/>
    <cellStyle name="Millares 4" xfId="9" xr:uid="{00000000-0005-0000-0000-000035000000}"/>
    <cellStyle name="Millares 5" xfId="10" xr:uid="{00000000-0005-0000-0000-000036000000}"/>
    <cellStyle name="Millares 6" xfId="86" xr:uid="{00000000-0005-0000-0000-000037000000}"/>
    <cellStyle name="Moneda" xfId="24" builtinId="4"/>
    <cellStyle name="Moneda 2" xfId="11" xr:uid="{00000000-0005-0000-0000-000039000000}"/>
    <cellStyle name="Moneda 2 2" xfId="18" xr:uid="{00000000-0005-0000-0000-00003A000000}"/>
    <cellStyle name="Moneda 2 27" xfId="68" xr:uid="{00000000-0005-0000-0000-00003B000000}"/>
    <cellStyle name="Moneda 2 3" xfId="69" xr:uid="{00000000-0005-0000-0000-00003C000000}"/>
    <cellStyle name="Moneda 2 3 2" xfId="28" xr:uid="{00000000-0005-0000-0000-00003D000000}"/>
    <cellStyle name="Moneda 3" xfId="70" xr:uid="{00000000-0005-0000-0000-00003E000000}"/>
    <cellStyle name="Moneda 4" xfId="71" xr:uid="{00000000-0005-0000-0000-00003F000000}"/>
    <cellStyle name="Moneda 4 2" xfId="29" xr:uid="{00000000-0005-0000-0000-000040000000}"/>
    <cellStyle name="Moneda 5" xfId="72" xr:uid="{00000000-0005-0000-0000-000041000000}"/>
    <cellStyle name="Moneda 5 2" xfId="73" xr:uid="{00000000-0005-0000-0000-000042000000}"/>
    <cellStyle name="Moneda 6" xfId="74" xr:uid="{00000000-0005-0000-0000-000043000000}"/>
    <cellStyle name="NivelCol_1" xfId="1" builtinId="2" iLevel="0"/>
    <cellStyle name="Normal" xfId="0" builtinId="0"/>
    <cellStyle name="Normal 2" xfId="4" xr:uid="{00000000-0005-0000-0000-000046000000}"/>
    <cellStyle name="Normal 2 2" xfId="12" xr:uid="{00000000-0005-0000-0000-000047000000}"/>
    <cellStyle name="Normal 3" xfId="13" xr:uid="{00000000-0005-0000-0000-000048000000}"/>
    <cellStyle name="Normal 4" xfId="14" xr:uid="{00000000-0005-0000-0000-000049000000}"/>
    <cellStyle name="Normal 4 2" xfId="17" xr:uid="{00000000-0005-0000-0000-00004A000000}"/>
    <cellStyle name="Normal 5" xfId="15" xr:uid="{00000000-0005-0000-0000-00004B000000}"/>
    <cellStyle name="Normal 6" xfId="21" xr:uid="{00000000-0005-0000-0000-00004C000000}"/>
    <cellStyle name="Normal 7" xfId="85" xr:uid="{00000000-0005-0000-0000-00004D000000}"/>
    <cellStyle name="Note" xfId="75" xr:uid="{00000000-0005-0000-0000-00004E000000}"/>
    <cellStyle name="Output" xfId="76" xr:uid="{00000000-0005-0000-0000-00004F000000}"/>
    <cellStyle name="Porcentaje" xfId="3" builtinId="5"/>
    <cellStyle name="Porcentaje 2" xfId="27" xr:uid="{00000000-0005-0000-0000-000051000000}"/>
    <cellStyle name="Porcentual 2" xfId="16" xr:uid="{00000000-0005-0000-0000-000052000000}"/>
    <cellStyle name="Porcentual 2 2" xfId="77" xr:uid="{00000000-0005-0000-0000-000053000000}"/>
    <cellStyle name="Porcentual 3" xfId="78" xr:uid="{00000000-0005-0000-0000-000054000000}"/>
    <cellStyle name="Title" xfId="79" xr:uid="{00000000-0005-0000-0000-000055000000}"/>
    <cellStyle name="Warning Text" xfId="80" xr:uid="{00000000-0005-0000-0000-000056000000}"/>
  </cellStyles>
  <dxfs count="0"/>
  <tableStyles count="0" defaultTableStyle="TableStyleMedium9" defaultPivotStyle="PivotStyleLight16"/>
  <colors>
    <mruColors>
      <color rgb="FF3186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olumes/EstudioMarq/09%20-%20LOTEO%20TIROL/PLANILLAS/D:/Sergio%20Topor/Videos/Downloads/pc-datos/Almacen/DESARROLLADORA/TORRE%20VISTA/GERENCIA%20EMPRENDIMIENTO%20TORRE%20VISTA/MODELO%20MAESTRIA%20de%20Planilla%20Cash%20Flow_SUPUESTOS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/Users/mariaalejandra/Documents/Estudio%20Marq/oficina%20cordoba/D:/Sergio%20Topor/Videos/Downloads/pc-datos/Almacen/DESARROLLADORA/TORRE%20VISTA/GERENCIA%20EMPRENDIMIENTO%20TORRE%20VISTA/MODELO%20MAESTRIA%20de%20Planilla%20Cash%20Flow_SUPUESTOS.xls?B0524EE6" TargetMode="External"/><Relationship Id="rId1" Type="http://schemas.openxmlformats.org/officeDocument/2006/relationships/externalLinkPath" Target="file:///\\B0524EE6\MODELO%20MAESTRIA%20de%20Planilla%20Cash%20Flow_SUPUESTO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lujo de Caj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lujo de Caj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252"/>
  <sheetViews>
    <sheetView tabSelected="1" zoomScale="70" zoomScaleNormal="70" zoomScalePageLayoutView="80" workbookViewId="0">
      <selection activeCell="G69" sqref="G69"/>
    </sheetView>
  </sheetViews>
  <sheetFormatPr baseColWidth="10" defaultColWidth="11.453125" defaultRowHeight="13" x14ac:dyDescent="0.3"/>
  <cols>
    <col min="1" max="1" width="6.453125" style="59" customWidth="1"/>
    <col min="2" max="2" width="51.81640625" style="59" bestFit="1" customWidth="1"/>
    <col min="3" max="3" width="18.36328125" style="2" bestFit="1" customWidth="1"/>
    <col min="4" max="4" width="25.1796875" style="136" customWidth="1"/>
    <col min="5" max="5" width="20.36328125" style="2" bestFit="1" customWidth="1"/>
    <col min="6" max="7" width="18.36328125" style="2" bestFit="1" customWidth="1"/>
    <col min="8" max="8" width="26.1796875" style="2" customWidth="1"/>
    <col min="9" max="9" width="22.453125" style="2" bestFit="1" customWidth="1"/>
    <col min="10" max="10" width="21.36328125" style="2" customWidth="1"/>
    <col min="11" max="11" width="18.1796875" style="2" bestFit="1" customWidth="1"/>
    <col min="12" max="12" width="14.453125" style="2" customWidth="1"/>
    <col min="13" max="13" width="8.453125" style="2" bestFit="1" customWidth="1"/>
    <col min="14" max="14" width="13" style="2" bestFit="1" customWidth="1"/>
    <col min="15" max="15" width="3.1796875" style="2" customWidth="1"/>
    <col min="16" max="16" width="2.453125" style="2" customWidth="1"/>
    <col min="17" max="17" width="14.453125" style="2" bestFit="1" customWidth="1"/>
    <col min="18" max="20" width="11.453125" style="2"/>
    <col min="21" max="21" width="17" style="2" bestFit="1" customWidth="1"/>
    <col min="22" max="16384" width="11.453125" style="2"/>
  </cols>
  <sheetData>
    <row r="1" spans="1:21" ht="41.25" customHeight="1" x14ac:dyDescent="0.3">
      <c r="A1" s="337"/>
      <c r="B1" s="338" t="s">
        <v>146</v>
      </c>
      <c r="C1" s="339"/>
      <c r="D1" s="340"/>
      <c r="E1" s="339"/>
      <c r="F1" s="341">
        <v>44677</v>
      </c>
      <c r="G1" s="342"/>
    </row>
    <row r="2" spans="1:21" ht="22.5" customHeight="1" x14ac:dyDescent="0.55000000000000004">
      <c r="A2" s="68">
        <v>1</v>
      </c>
      <c r="B2" s="69" t="s">
        <v>50</v>
      </c>
      <c r="C2" s="70"/>
      <c r="D2" s="115"/>
      <c r="E2" s="71"/>
      <c r="F2" s="70"/>
      <c r="G2" s="70"/>
      <c r="P2" s="3"/>
      <c r="Q2" s="3"/>
      <c r="R2" s="3"/>
      <c r="S2" s="3"/>
      <c r="T2" s="3"/>
      <c r="U2" s="3"/>
    </row>
    <row r="3" spans="1:21" ht="15.5" x14ac:dyDescent="0.35">
      <c r="A3" s="4"/>
      <c r="B3" s="4"/>
      <c r="C3" s="1"/>
      <c r="D3" s="116"/>
      <c r="E3" s="5"/>
      <c r="F3" s="5"/>
      <c r="G3" s="1"/>
      <c r="P3" s="3"/>
      <c r="Q3" s="3"/>
      <c r="R3" s="3"/>
      <c r="S3" s="6"/>
      <c r="T3" s="6"/>
      <c r="U3" s="3"/>
    </row>
    <row r="4" spans="1:21" ht="15.5" x14ac:dyDescent="0.35">
      <c r="A4" s="292" t="s">
        <v>0</v>
      </c>
      <c r="B4" s="293"/>
      <c r="C4" s="293"/>
      <c r="D4" s="294" t="s">
        <v>26</v>
      </c>
      <c r="E4" s="295" t="s">
        <v>150</v>
      </c>
      <c r="F4" s="295" t="s">
        <v>148</v>
      </c>
      <c r="G4" s="296" t="s">
        <v>149</v>
      </c>
      <c r="P4" s="3"/>
      <c r="Q4" s="3"/>
      <c r="R4" s="3"/>
      <c r="S4" s="7"/>
      <c r="T4" s="7"/>
      <c r="U4" s="3"/>
    </row>
    <row r="5" spans="1:21" x14ac:dyDescent="0.3">
      <c r="A5" s="297"/>
      <c r="B5" s="298"/>
      <c r="C5" s="299"/>
      <c r="D5" s="300" t="s">
        <v>190</v>
      </c>
      <c r="E5" s="301" t="s">
        <v>189</v>
      </c>
      <c r="F5" s="301"/>
      <c r="G5" s="302"/>
      <c r="P5" s="3"/>
      <c r="Q5" s="3"/>
      <c r="R5" s="3"/>
      <c r="S5" s="7"/>
      <c r="T5" s="7"/>
      <c r="U5" s="3"/>
    </row>
    <row r="6" spans="1:21" x14ac:dyDescent="0.3">
      <c r="A6" s="8" t="s">
        <v>1</v>
      </c>
      <c r="B6" s="8"/>
      <c r="C6" s="9"/>
      <c r="D6" s="117"/>
      <c r="E6" s="10"/>
      <c r="F6" s="10"/>
      <c r="G6" s="10"/>
      <c r="P6" s="3"/>
      <c r="Q6" s="3"/>
      <c r="R6" s="3"/>
      <c r="S6" s="7"/>
      <c r="T6" s="7"/>
      <c r="U6" s="3"/>
    </row>
    <row r="7" spans="1:21" x14ac:dyDescent="0.3">
      <c r="A7" s="14"/>
      <c r="B7" s="11" t="s">
        <v>3</v>
      </c>
      <c r="C7" s="15">
        <v>735</v>
      </c>
      <c r="D7" s="116"/>
      <c r="E7" s="1"/>
      <c r="F7" s="12"/>
      <c r="G7" s="12"/>
      <c r="P7" s="3"/>
      <c r="Q7" s="3"/>
      <c r="R7" s="3"/>
      <c r="S7" s="3"/>
      <c r="T7" s="3"/>
      <c r="U7" s="3"/>
    </row>
    <row r="8" spans="1:21" x14ac:dyDescent="0.3">
      <c r="A8" s="8"/>
      <c r="B8" s="16" t="s">
        <v>4</v>
      </c>
      <c r="C8" s="17">
        <v>3.4</v>
      </c>
      <c r="D8" s="118">
        <v>3607</v>
      </c>
      <c r="E8" s="5"/>
      <c r="F8" s="1"/>
      <c r="G8" s="12"/>
      <c r="P8" s="3"/>
      <c r="Q8" s="3"/>
      <c r="R8" s="3"/>
      <c r="S8" s="3"/>
      <c r="T8" s="3"/>
      <c r="U8" s="3"/>
    </row>
    <row r="9" spans="1:21" ht="21" x14ac:dyDescent="0.5">
      <c r="A9" s="211"/>
      <c r="B9" s="212" t="s">
        <v>145</v>
      </c>
      <c r="C9" s="213"/>
      <c r="D9" s="210">
        <v>3607</v>
      </c>
      <c r="E9" s="210">
        <v>300</v>
      </c>
      <c r="F9" s="210">
        <v>601</v>
      </c>
      <c r="G9" s="210">
        <f>+C7</f>
        <v>735</v>
      </c>
      <c r="P9" s="3"/>
      <c r="Q9" s="3"/>
      <c r="R9" s="3"/>
      <c r="S9" s="6"/>
      <c r="T9" s="6"/>
      <c r="U9" s="3"/>
    </row>
    <row r="10" spans="1:21" x14ac:dyDescent="0.3">
      <c r="A10" s="14"/>
      <c r="B10" s="8" t="s">
        <v>152</v>
      </c>
      <c r="C10" s="11"/>
      <c r="D10" s="117"/>
      <c r="E10" s="20"/>
      <c r="F10" s="15">
        <v>18</v>
      </c>
      <c r="G10" s="67">
        <v>26</v>
      </c>
      <c r="P10" s="3"/>
      <c r="Q10" s="3"/>
      <c r="R10" s="3"/>
      <c r="S10" s="7"/>
      <c r="T10" s="7"/>
      <c r="U10" s="3"/>
    </row>
    <row r="11" spans="1:21" ht="4.5" customHeight="1" x14ac:dyDescent="0.3">
      <c r="A11" s="14"/>
      <c r="B11" s="8"/>
      <c r="C11" s="11"/>
      <c r="D11" s="117"/>
      <c r="E11" s="20"/>
      <c r="F11" s="15"/>
      <c r="G11" s="67"/>
      <c r="P11" s="3"/>
      <c r="Q11" s="3"/>
      <c r="R11" s="3"/>
      <c r="S11" s="7"/>
      <c r="T11" s="7"/>
      <c r="U11" s="3"/>
    </row>
    <row r="12" spans="1:21" ht="14.5" x14ac:dyDescent="0.3">
      <c r="A12" s="8" t="s">
        <v>5</v>
      </c>
      <c r="B12" s="8"/>
      <c r="C12" s="10"/>
      <c r="D12" s="117"/>
      <c r="E12" s="10"/>
      <c r="P12" s="3"/>
      <c r="Q12" s="3"/>
      <c r="R12" s="3"/>
      <c r="S12" s="21"/>
      <c r="T12" s="21"/>
      <c r="U12" s="3"/>
    </row>
    <row r="13" spans="1:21" ht="15" thickBot="1" x14ac:dyDescent="0.4">
      <c r="A13" s="8"/>
      <c r="B13" s="8" t="s">
        <v>6</v>
      </c>
      <c r="C13" s="22">
        <f>D13/D9</f>
        <v>0.23593013584696423</v>
      </c>
      <c r="D13" s="119">
        <v>851</v>
      </c>
      <c r="E13" s="23"/>
      <c r="F13" s="24"/>
      <c r="G13" s="25"/>
      <c r="P13" s="3"/>
      <c r="Q13" s="3"/>
      <c r="R13" s="3"/>
      <c r="S13" s="7"/>
      <c r="T13" s="26"/>
      <c r="U13" s="3"/>
    </row>
    <row r="14" spans="1:21" ht="16" thickBot="1" x14ac:dyDescent="0.4">
      <c r="A14" s="8"/>
      <c r="B14" s="8" t="s">
        <v>7</v>
      </c>
      <c r="D14" s="120">
        <f>+D13+D9</f>
        <v>4458</v>
      </c>
      <c r="E14" s="141">
        <f>E13+E9</f>
        <v>300</v>
      </c>
      <c r="F14" s="141">
        <f>+F9</f>
        <v>601</v>
      </c>
      <c r="G14" s="141">
        <f>+G9</f>
        <v>735</v>
      </c>
      <c r="P14" s="3"/>
      <c r="Q14" s="3"/>
      <c r="R14" s="3"/>
      <c r="S14" s="21"/>
      <c r="T14" s="21"/>
      <c r="U14" s="3"/>
    </row>
    <row r="15" spans="1:21" ht="21.5" thickBot="1" x14ac:dyDescent="0.55000000000000004">
      <c r="A15" s="27"/>
      <c r="B15" s="27" t="s">
        <v>8</v>
      </c>
      <c r="C15" s="28"/>
      <c r="D15" s="186">
        <f>SUM(D14:G14)</f>
        <v>6094</v>
      </c>
      <c r="E15" s="29"/>
      <c r="F15" s="29"/>
      <c r="G15" s="29"/>
      <c r="P15" s="3"/>
      <c r="Q15" s="3"/>
      <c r="R15" s="3"/>
      <c r="S15" s="7"/>
      <c r="T15" s="7"/>
      <c r="U15" s="3"/>
    </row>
    <row r="16" spans="1:21" ht="21.5" thickBot="1" x14ac:dyDescent="0.55000000000000004">
      <c r="A16" s="29"/>
      <c r="B16" s="29"/>
      <c r="C16" s="29"/>
      <c r="D16" s="29"/>
      <c r="E16" s="29"/>
      <c r="F16" s="29"/>
      <c r="G16" s="29"/>
      <c r="I16" s="365" t="s">
        <v>208</v>
      </c>
      <c r="P16" s="3"/>
      <c r="Q16" s="3"/>
      <c r="R16" s="3"/>
      <c r="S16" s="7"/>
      <c r="T16" s="7"/>
      <c r="U16" s="3"/>
    </row>
    <row r="17" spans="1:21" ht="21.5" thickBot="1" x14ac:dyDescent="0.55000000000000004">
      <c r="A17" s="303" t="s">
        <v>0</v>
      </c>
      <c r="B17" s="304"/>
      <c r="C17" s="305"/>
      <c r="D17" s="306"/>
      <c r="E17" s="307"/>
      <c r="F17" s="307"/>
      <c r="G17" s="308"/>
      <c r="I17" s="366" t="s">
        <v>207</v>
      </c>
      <c r="J17" s="290"/>
      <c r="P17" s="3"/>
      <c r="Q17" s="3"/>
      <c r="R17" s="3"/>
      <c r="S17" s="7"/>
      <c r="T17" s="7"/>
      <c r="U17" s="3"/>
    </row>
    <row r="18" spans="1:21" ht="7.5" customHeight="1" thickBot="1" x14ac:dyDescent="0.35">
      <c r="A18" s="8"/>
      <c r="B18" s="8"/>
      <c r="C18" s="9"/>
      <c r="D18" s="117"/>
      <c r="E18" s="10"/>
      <c r="F18" s="10"/>
      <c r="G18" s="10"/>
      <c r="P18" s="3"/>
      <c r="Q18" s="3"/>
      <c r="R18" s="3"/>
      <c r="S18" s="7"/>
      <c r="T18" s="7"/>
      <c r="U18" s="3"/>
    </row>
    <row r="19" spans="1:21" ht="21.5" thickBot="1" x14ac:dyDescent="0.55000000000000004">
      <c r="A19" s="19" t="s">
        <v>9</v>
      </c>
      <c r="B19" s="18"/>
      <c r="C19" s="61"/>
      <c r="D19" s="217">
        <v>150000</v>
      </c>
      <c r="I19" s="54">
        <v>1</v>
      </c>
      <c r="J19" s="362">
        <f>+I19*D19</f>
        <v>150000</v>
      </c>
      <c r="P19" s="3"/>
      <c r="Q19" s="3"/>
      <c r="R19" s="3"/>
      <c r="S19" s="21"/>
      <c r="T19" s="21"/>
      <c r="U19" s="3"/>
    </row>
    <row r="20" spans="1:21" ht="6.75" customHeight="1" x14ac:dyDescent="0.3">
      <c r="A20" s="1"/>
      <c r="B20" s="1"/>
      <c r="C20" s="1"/>
      <c r="D20" s="118"/>
      <c r="E20" s="1"/>
      <c r="F20" s="1"/>
      <c r="G20" s="1"/>
      <c r="J20" s="58"/>
      <c r="P20" s="3"/>
      <c r="Q20" s="3"/>
      <c r="R20" s="3"/>
    </row>
    <row r="21" spans="1:21" ht="21" x14ac:dyDescent="0.5">
      <c r="A21" s="19" t="s">
        <v>10</v>
      </c>
      <c r="B21" s="18"/>
      <c r="C21" s="62">
        <v>0.15</v>
      </c>
      <c r="D21" s="123">
        <f>+D9*$C$21</f>
        <v>541.04999999999995</v>
      </c>
      <c r="E21" s="113">
        <f>+E9*$C$21</f>
        <v>45</v>
      </c>
      <c r="F21" s="214">
        <v>2</v>
      </c>
      <c r="G21" s="214">
        <v>3</v>
      </c>
      <c r="J21" s="58"/>
      <c r="P21" s="3"/>
      <c r="Q21" s="3"/>
      <c r="R21" s="3"/>
      <c r="S21" s="7"/>
    </row>
    <row r="22" spans="1:21" ht="3.75" customHeight="1" x14ac:dyDescent="0.35">
      <c r="A22" s="2"/>
      <c r="B22" s="2"/>
      <c r="C22" s="2" t="s">
        <v>147</v>
      </c>
      <c r="D22" s="118"/>
      <c r="E22" s="1"/>
      <c r="F22" s="1"/>
      <c r="G22" s="1"/>
      <c r="J22" s="58"/>
      <c r="P22" s="3"/>
      <c r="Q22" s="3"/>
      <c r="R22" s="3"/>
      <c r="T22" s="26"/>
      <c r="U22" s="3"/>
    </row>
    <row r="23" spans="1:21" ht="18.5" x14ac:dyDescent="0.45">
      <c r="A23" s="215" t="s">
        <v>151</v>
      </c>
      <c r="B23" s="216"/>
      <c r="C23" s="309"/>
      <c r="D23" s="310">
        <f>+D21*D68</f>
        <v>1217362.5</v>
      </c>
      <c r="E23" s="310">
        <f>+E21*E68</f>
        <v>33750</v>
      </c>
      <c r="F23" s="310">
        <f>+F21*F68</f>
        <v>50000</v>
      </c>
      <c r="G23" s="310">
        <f>+G21*G68</f>
        <v>66000</v>
      </c>
      <c r="J23" s="58"/>
      <c r="P23" s="3"/>
      <c r="Q23" s="3"/>
      <c r="R23" s="3"/>
      <c r="S23" s="7"/>
      <c r="T23" s="7"/>
      <c r="U23" s="3"/>
    </row>
    <row r="24" spans="1:21" ht="13.5" thickBot="1" x14ac:dyDescent="0.35">
      <c r="A24" s="2"/>
      <c r="B24" s="2"/>
      <c r="D24" s="2"/>
      <c r="J24" s="58"/>
      <c r="P24" s="3"/>
      <c r="Q24" s="3"/>
      <c r="R24" s="3"/>
      <c r="S24" s="7"/>
      <c r="T24" s="7"/>
      <c r="U24" s="3"/>
    </row>
    <row r="25" spans="1:21" ht="21.5" thickBot="1" x14ac:dyDescent="0.55000000000000004">
      <c r="A25" s="220" t="s">
        <v>11</v>
      </c>
      <c r="B25" s="220"/>
      <c r="C25" s="222"/>
      <c r="D25" s="186">
        <f>SUM(D23:G23)+D19</f>
        <v>1517112.5</v>
      </c>
      <c r="J25" s="58"/>
      <c r="P25" s="3"/>
      <c r="Q25" s="3"/>
      <c r="R25" s="3"/>
      <c r="S25" s="7"/>
      <c r="T25" s="7"/>
      <c r="U25" s="3"/>
    </row>
    <row r="26" spans="1:21" ht="5.25" customHeight="1" thickBot="1" x14ac:dyDescent="0.35">
      <c r="A26" s="2"/>
      <c r="B26" s="2"/>
      <c r="D26" s="2"/>
      <c r="J26" s="58"/>
      <c r="P26" s="3"/>
      <c r="Q26" s="3"/>
      <c r="R26" s="3"/>
      <c r="S26" s="7"/>
      <c r="T26" s="7"/>
      <c r="U26" s="3"/>
    </row>
    <row r="27" spans="1:21" ht="19" thickBot="1" x14ac:dyDescent="0.5">
      <c r="A27" s="321" t="s">
        <v>12</v>
      </c>
      <c r="B27" s="322"/>
      <c r="C27" s="323"/>
      <c r="D27" s="324">
        <f>+(D25+D46)/(D9+E9)</f>
        <v>420.30010238034299</v>
      </c>
      <c r="F27" s="58" t="s">
        <v>197</v>
      </c>
      <c r="J27" s="58"/>
      <c r="P27" s="3"/>
      <c r="Q27" s="3"/>
      <c r="R27" s="3"/>
      <c r="S27" s="13"/>
      <c r="T27" s="13"/>
      <c r="U27" s="3"/>
    </row>
    <row r="28" spans="1:21" ht="11.25" customHeight="1" x14ac:dyDescent="0.35">
      <c r="A28" s="2"/>
      <c r="B28" s="2"/>
      <c r="D28" s="118"/>
      <c r="E28" s="1"/>
      <c r="F28" s="1"/>
      <c r="G28" s="1"/>
      <c r="J28" s="58"/>
      <c r="P28" s="3"/>
      <c r="Q28" s="3"/>
      <c r="R28" s="3"/>
      <c r="T28" s="26"/>
      <c r="U28" s="3"/>
    </row>
    <row r="29" spans="1:21" ht="21" x14ac:dyDescent="0.5">
      <c r="A29" s="211" t="s">
        <v>42</v>
      </c>
      <c r="B29" s="212"/>
      <c r="C29" s="213"/>
      <c r="D29" s="210">
        <f>D9-D21</f>
        <v>3065.95</v>
      </c>
      <c r="E29" s="210">
        <f>E9-E21</f>
        <v>255</v>
      </c>
      <c r="F29" s="210">
        <f>F10-F21</f>
        <v>16</v>
      </c>
      <c r="G29" s="210">
        <f>G10-G21</f>
        <v>23</v>
      </c>
      <c r="J29" s="58"/>
      <c r="P29" s="3"/>
      <c r="Q29" s="3"/>
      <c r="R29" s="3"/>
      <c r="S29" s="13"/>
      <c r="T29" s="13"/>
      <c r="U29" s="3"/>
    </row>
    <row r="30" spans="1:21" ht="16" thickBot="1" x14ac:dyDescent="0.35">
      <c r="A30" s="8"/>
      <c r="B30" s="14"/>
      <c r="C30" s="31"/>
      <c r="D30" s="121"/>
      <c r="E30" s="20"/>
      <c r="F30" s="20"/>
      <c r="G30" s="15"/>
      <c r="J30" s="58"/>
      <c r="P30" s="3"/>
      <c r="Q30" s="3"/>
      <c r="R30" s="3"/>
      <c r="S30" s="13"/>
      <c r="T30" s="13"/>
      <c r="U30" s="3"/>
    </row>
    <row r="31" spans="1:21" ht="21.5" thickBot="1" x14ac:dyDescent="0.55000000000000004">
      <c r="A31" s="303" t="s">
        <v>13</v>
      </c>
      <c r="B31" s="304"/>
      <c r="C31" s="305"/>
      <c r="D31" s="306" t="str">
        <f>+D4</f>
        <v>viviendas</v>
      </c>
      <c r="E31" s="307" t="str">
        <f t="shared" ref="E31:G31" si="0">+E4</f>
        <v>Exteriores</v>
      </c>
      <c r="F31" s="307" t="str">
        <f t="shared" si="0"/>
        <v>cocheras PB</v>
      </c>
      <c r="G31" s="308" t="str">
        <f t="shared" si="0"/>
        <v>cocheras SS</v>
      </c>
      <c r="H31" s="33"/>
      <c r="J31" s="58"/>
      <c r="P31" s="3"/>
      <c r="Q31" s="3"/>
      <c r="R31" s="3"/>
      <c r="U31" s="3"/>
    </row>
    <row r="32" spans="1:21" x14ac:dyDescent="0.3">
      <c r="A32" s="1"/>
      <c r="B32" s="1" t="s">
        <v>144</v>
      </c>
      <c r="C32" s="1"/>
      <c r="D32" s="122">
        <f>D14</f>
        <v>4458</v>
      </c>
      <c r="E32" s="34">
        <f>E14</f>
        <v>300</v>
      </c>
      <c r="F32" s="34">
        <f>F14</f>
        <v>601</v>
      </c>
      <c r="G32" s="34">
        <f>G14</f>
        <v>735</v>
      </c>
      <c r="H32" s="33"/>
      <c r="J32" s="58"/>
      <c r="P32" s="3"/>
      <c r="Q32" s="3"/>
      <c r="R32" s="3"/>
      <c r="S32" s="3"/>
      <c r="T32" s="3"/>
      <c r="U32" s="3"/>
    </row>
    <row r="33" spans="1:18" ht="21" x14ac:dyDescent="0.5">
      <c r="A33" s="8"/>
      <c r="B33" s="8" t="s">
        <v>14</v>
      </c>
      <c r="C33" s="10"/>
      <c r="D33" s="123">
        <v>750</v>
      </c>
      <c r="E33" s="113">
        <v>200</v>
      </c>
      <c r="F33" s="113">
        <v>500</v>
      </c>
      <c r="G33" s="113">
        <v>500</v>
      </c>
      <c r="H33" s="33"/>
      <c r="I33" s="35"/>
      <c r="J33" s="58"/>
      <c r="P33" s="3"/>
      <c r="Q33" s="3"/>
      <c r="R33" s="3"/>
    </row>
    <row r="34" spans="1:18" ht="13.5" thickBot="1" x14ac:dyDescent="0.35">
      <c r="A34" s="36"/>
      <c r="B34" s="36" t="s">
        <v>15</v>
      </c>
      <c r="C34" s="37"/>
      <c r="D34" s="119">
        <f>+D32*D33</f>
        <v>3343500</v>
      </c>
      <c r="E34" s="65">
        <f>+E32*E33</f>
        <v>60000</v>
      </c>
      <c r="F34" s="53">
        <f>+F32*F33</f>
        <v>300500</v>
      </c>
      <c r="G34" s="53">
        <f>+G32*G33</f>
        <v>367500</v>
      </c>
      <c r="H34" s="33"/>
      <c r="I34" s="35"/>
      <c r="J34" s="58"/>
      <c r="P34" s="3"/>
      <c r="Q34" s="3"/>
      <c r="R34" s="3"/>
    </row>
    <row r="35" spans="1:18" ht="21.5" thickBot="1" x14ac:dyDescent="0.55000000000000004">
      <c r="A35" s="220"/>
      <c r="B35" s="220" t="s">
        <v>16</v>
      </c>
      <c r="C35" s="221"/>
      <c r="D35" s="186">
        <f>SUM(D34:G34)</f>
        <v>4071500</v>
      </c>
      <c r="E35" s="40"/>
      <c r="F35" s="40"/>
      <c r="G35" s="110"/>
      <c r="H35" s="33"/>
      <c r="I35" s="54">
        <v>0.15</v>
      </c>
      <c r="J35" s="362">
        <f>+I35*D35</f>
        <v>610725</v>
      </c>
      <c r="P35" s="3"/>
      <c r="Q35" s="3"/>
      <c r="R35" s="3"/>
    </row>
    <row r="36" spans="1:18" ht="12.75" customHeight="1" x14ac:dyDescent="0.3">
      <c r="A36" s="36"/>
      <c r="B36" s="36" t="s">
        <v>179</v>
      </c>
      <c r="C36" s="38"/>
      <c r="D36" s="117"/>
      <c r="E36" s="15"/>
      <c r="F36" s="15"/>
      <c r="G36" s="10"/>
      <c r="H36" s="33"/>
      <c r="I36" s="35"/>
      <c r="J36" s="362">
        <f t="shared" ref="J36:J48" si="1">+I36*D36</f>
        <v>0</v>
      </c>
      <c r="P36" s="3"/>
      <c r="Q36" s="3"/>
      <c r="R36" s="3"/>
    </row>
    <row r="37" spans="1:18" ht="12.75" customHeight="1" x14ac:dyDescent="0.3">
      <c r="A37" s="39"/>
      <c r="B37" s="39" t="s">
        <v>17</v>
      </c>
      <c r="C37" s="60">
        <v>0.03</v>
      </c>
      <c r="D37" s="117">
        <f>C37*$D$35</f>
        <v>122145</v>
      </c>
      <c r="E37" s="15"/>
      <c r="F37" s="15"/>
      <c r="G37" s="10"/>
      <c r="H37" s="33"/>
      <c r="I37" s="54">
        <v>0.15</v>
      </c>
      <c r="J37" s="362">
        <f t="shared" si="1"/>
        <v>18321.75</v>
      </c>
      <c r="P37" s="3"/>
      <c r="Q37" s="3"/>
      <c r="R37" s="3"/>
    </row>
    <row r="38" spans="1:18" ht="12.75" customHeight="1" x14ac:dyDescent="0.3">
      <c r="A38" s="39"/>
      <c r="B38" s="39" t="s">
        <v>18</v>
      </c>
      <c r="C38" s="60">
        <v>0.03</v>
      </c>
      <c r="D38" s="117">
        <f>C38*$D$35-D85</f>
        <v>122145</v>
      </c>
      <c r="E38" s="15"/>
      <c r="F38" s="15"/>
      <c r="G38" s="10"/>
      <c r="H38" s="33"/>
      <c r="I38" s="35"/>
      <c r="J38" s="362">
        <f t="shared" si="1"/>
        <v>0</v>
      </c>
      <c r="P38" s="3"/>
      <c r="Q38" s="3"/>
      <c r="R38" s="3"/>
    </row>
    <row r="39" spans="1:18" ht="12.75" customHeight="1" x14ac:dyDescent="0.3">
      <c r="A39" s="39"/>
      <c r="B39" s="39" t="s">
        <v>19</v>
      </c>
      <c r="C39" s="60">
        <v>0.02</v>
      </c>
      <c r="D39" s="117">
        <f>C39*$D$35</f>
        <v>81430</v>
      </c>
      <c r="E39" s="15"/>
      <c r="F39" s="15"/>
      <c r="G39" s="10"/>
      <c r="H39" s="33"/>
      <c r="I39" s="54">
        <v>0.1</v>
      </c>
      <c r="J39" s="362">
        <f t="shared" si="1"/>
        <v>8143</v>
      </c>
      <c r="P39" s="3"/>
      <c r="Q39" s="3"/>
      <c r="R39" s="3"/>
    </row>
    <row r="40" spans="1:18" ht="12.75" customHeight="1" x14ac:dyDescent="0.3">
      <c r="A40" s="39"/>
      <c r="B40" s="39" t="s">
        <v>20</v>
      </c>
      <c r="C40" s="60">
        <v>1.4999999999999999E-2</v>
      </c>
      <c r="D40" s="117">
        <f>C40*$D$35</f>
        <v>61072.5</v>
      </c>
      <c r="E40" s="15"/>
      <c r="F40" s="15"/>
      <c r="G40" s="10"/>
      <c r="H40" s="33"/>
      <c r="I40" s="54">
        <v>0.2</v>
      </c>
      <c r="J40" s="362">
        <f t="shared" si="1"/>
        <v>12214.5</v>
      </c>
      <c r="P40" s="3"/>
      <c r="Q40" s="3"/>
      <c r="R40" s="3"/>
    </row>
    <row r="41" spans="1:18" ht="12.75" customHeight="1" x14ac:dyDescent="0.3">
      <c r="A41" s="39"/>
      <c r="B41" s="39" t="s">
        <v>95</v>
      </c>
      <c r="C41" s="60">
        <v>1.4999999999999999E-2</v>
      </c>
      <c r="D41" s="117">
        <f>SUM(D35:D40)*C41</f>
        <v>66874.387499999997</v>
      </c>
      <c r="E41" s="15"/>
      <c r="F41" s="15"/>
      <c r="G41" s="10"/>
      <c r="H41" s="33"/>
      <c r="I41" s="54">
        <v>0.05</v>
      </c>
      <c r="J41" s="362">
        <f t="shared" si="1"/>
        <v>3343.7193750000001</v>
      </c>
      <c r="P41" s="3"/>
      <c r="Q41" s="3"/>
      <c r="R41" s="3"/>
    </row>
    <row r="42" spans="1:18" ht="12.75" customHeight="1" thickBot="1" x14ac:dyDescent="0.35">
      <c r="A42" s="36"/>
      <c r="B42" s="36" t="s">
        <v>21</v>
      </c>
      <c r="C42" s="43">
        <v>0.04</v>
      </c>
      <c r="D42" s="117">
        <f>SUM(D35:D41)*C42</f>
        <v>181006.67550000001</v>
      </c>
      <c r="E42" s="15"/>
      <c r="F42" s="15"/>
      <c r="G42" s="10"/>
      <c r="H42" s="33"/>
      <c r="I42" s="54">
        <v>0.1</v>
      </c>
      <c r="J42" s="362">
        <f t="shared" si="1"/>
        <v>18100.667550000002</v>
      </c>
      <c r="P42" s="3"/>
      <c r="Q42" s="3"/>
      <c r="R42" s="3"/>
    </row>
    <row r="43" spans="1:18" ht="21.5" thickBot="1" x14ac:dyDescent="0.55000000000000004">
      <c r="A43" s="220"/>
      <c r="B43" s="220" t="s">
        <v>169</v>
      </c>
      <c r="C43" s="222">
        <f>+D43/D35</f>
        <v>0.15588200000000002</v>
      </c>
      <c r="D43" s="186">
        <f>SUM(D37:D42)</f>
        <v>634673.56300000008</v>
      </c>
      <c r="E43" s="15"/>
      <c r="F43" s="15"/>
      <c r="G43" s="10"/>
      <c r="H43" s="33"/>
      <c r="I43" s="35"/>
      <c r="J43" s="362">
        <f t="shared" si="1"/>
        <v>0</v>
      </c>
    </row>
    <row r="44" spans="1:18" ht="12.75" customHeight="1" x14ac:dyDescent="0.3">
      <c r="A44" s="39"/>
      <c r="B44" s="39" t="s">
        <v>153</v>
      </c>
      <c r="C44" s="219">
        <v>0.04</v>
      </c>
      <c r="D44" s="117">
        <f>+C44*D25</f>
        <v>60684.5</v>
      </c>
      <c r="E44" s="15"/>
      <c r="F44" s="15"/>
      <c r="G44" s="10"/>
      <c r="H44" s="33"/>
      <c r="I44" s="54">
        <v>1</v>
      </c>
      <c r="J44" s="362">
        <f t="shared" si="1"/>
        <v>60684.5</v>
      </c>
    </row>
    <row r="45" spans="1:18" ht="12.75" customHeight="1" x14ac:dyDescent="0.3">
      <c r="A45" s="39"/>
      <c r="B45" s="39" t="s">
        <v>154</v>
      </c>
      <c r="C45" s="332" t="s">
        <v>181</v>
      </c>
      <c r="D45" s="336">
        <v>15000</v>
      </c>
      <c r="E45" s="334" t="s">
        <v>191</v>
      </c>
      <c r="F45" s="15"/>
      <c r="G45" s="10"/>
      <c r="H45" s="33"/>
      <c r="I45" s="54">
        <v>1</v>
      </c>
      <c r="J45" s="362">
        <f t="shared" si="1"/>
        <v>15000</v>
      </c>
    </row>
    <row r="46" spans="1:18" x14ac:dyDescent="0.3">
      <c r="A46" s="42"/>
      <c r="B46" s="36" t="s">
        <v>180</v>
      </c>
      <c r="C46" s="332" t="s">
        <v>181</v>
      </c>
      <c r="D46" s="336">
        <v>125000</v>
      </c>
      <c r="E46" s="335" t="s">
        <v>186</v>
      </c>
      <c r="F46" s="15"/>
      <c r="G46" s="10"/>
      <c r="H46" s="33"/>
      <c r="I46" s="54">
        <v>1</v>
      </c>
      <c r="J46" s="362">
        <f t="shared" si="1"/>
        <v>125000</v>
      </c>
    </row>
    <row r="47" spans="1:18" x14ac:dyDescent="0.3">
      <c r="A47" s="42"/>
      <c r="B47" s="36" t="s">
        <v>192</v>
      </c>
      <c r="C47" s="333">
        <v>10</v>
      </c>
      <c r="D47" s="336">
        <f>+C47*D15</f>
        <v>60940</v>
      </c>
      <c r="E47" s="334" t="s">
        <v>191</v>
      </c>
      <c r="F47" s="15"/>
      <c r="G47" s="10"/>
      <c r="H47" s="33"/>
      <c r="I47" s="54">
        <v>1</v>
      </c>
      <c r="J47" s="362">
        <f t="shared" si="1"/>
        <v>60940</v>
      </c>
    </row>
    <row r="48" spans="1:18" ht="13.5" thickBot="1" x14ac:dyDescent="0.35">
      <c r="A48" s="42"/>
      <c r="B48" s="36" t="s">
        <v>22</v>
      </c>
      <c r="C48" s="43">
        <v>1.4999999999999999E-2</v>
      </c>
      <c r="D48" s="117">
        <f>+(D35+D43)*C48</f>
        <v>70592.603445000001</v>
      </c>
      <c r="E48" s="15"/>
      <c r="F48" s="15"/>
      <c r="G48" s="10"/>
      <c r="H48" s="33"/>
      <c r="I48" s="54">
        <v>0.3</v>
      </c>
      <c r="J48" s="362">
        <f t="shared" si="1"/>
        <v>21177.781033499999</v>
      </c>
    </row>
    <row r="49" spans="1:10" ht="21.5" thickBot="1" x14ac:dyDescent="0.55000000000000004">
      <c r="A49" s="220"/>
      <c r="B49" s="220" t="s">
        <v>170</v>
      </c>
      <c r="C49" s="222">
        <f>+D49/(D35+D43)</f>
        <v>7.0591766112685556E-2</v>
      </c>
      <c r="D49" s="186">
        <f>SUM(D44:D48)</f>
        <v>332217.10344500002</v>
      </c>
      <c r="E49" s="15"/>
      <c r="F49" s="15"/>
      <c r="G49" s="10"/>
      <c r="H49" s="33"/>
      <c r="J49" s="363">
        <f>SUM(J18:J48)</f>
        <v>1103650.9179585001</v>
      </c>
    </row>
    <row r="50" spans="1:10" ht="13.5" thickBot="1" x14ac:dyDescent="0.35">
      <c r="A50" s="8"/>
      <c r="B50" s="8" t="s">
        <v>23</v>
      </c>
      <c r="C50" s="43">
        <v>0.12</v>
      </c>
      <c r="D50" s="117">
        <f>+(D35+D43+D49)*C50</f>
        <v>604606.87997340003</v>
      </c>
      <c r="E50" s="15"/>
      <c r="F50" s="15"/>
      <c r="H50" s="15"/>
      <c r="I50" s="364">
        <f>+C50</f>
        <v>0.12</v>
      </c>
      <c r="J50" s="30">
        <f>+J49*I50</f>
        <v>132438.11015502</v>
      </c>
    </row>
    <row r="51" spans="1:10" ht="19" thickBot="1" x14ac:dyDescent="0.5">
      <c r="A51" s="280" t="s">
        <v>182</v>
      </c>
      <c r="B51" s="286"/>
      <c r="C51" s="281"/>
      <c r="D51" s="282">
        <f>+D35+D43+D49+D50</f>
        <v>5642997.5464184005</v>
      </c>
      <c r="E51" s="15"/>
      <c r="F51" s="15"/>
      <c r="G51" s="15"/>
      <c r="H51" s="15"/>
      <c r="I51" s="366" t="s">
        <v>208</v>
      </c>
      <c r="J51" s="290">
        <f>+J49+J50</f>
        <v>1236089.02811352</v>
      </c>
    </row>
    <row r="52" spans="1:10" ht="19" thickBot="1" x14ac:dyDescent="0.5">
      <c r="A52" s="283" t="str">
        <f>+A19</f>
        <v>CASH POR EL TERRENO</v>
      </c>
      <c r="B52" s="287"/>
      <c r="C52" s="224"/>
      <c r="D52" s="288">
        <f>+D19</f>
        <v>150000</v>
      </c>
      <c r="E52" s="15"/>
      <c r="F52" s="15"/>
      <c r="G52" s="15"/>
      <c r="H52" s="15"/>
      <c r="I52" s="15"/>
    </row>
    <row r="53" spans="1:10" ht="19" thickBot="1" x14ac:dyDescent="0.5">
      <c r="A53" s="284" t="s">
        <v>187</v>
      </c>
      <c r="B53" s="285"/>
      <c r="C53" s="289"/>
      <c r="D53" s="290">
        <f>+D51+D52</f>
        <v>5792997.5464184005</v>
      </c>
      <c r="E53" s="15"/>
    </row>
    <row r="54" spans="1:10" x14ac:dyDescent="0.3">
      <c r="A54" s="15"/>
      <c r="B54" s="15"/>
      <c r="C54" s="15"/>
      <c r="D54" s="15"/>
      <c r="E54" s="15"/>
    </row>
    <row r="55" spans="1:10" x14ac:dyDescent="0.3">
      <c r="A55" s="15"/>
      <c r="B55" s="15"/>
      <c r="C55" s="15"/>
      <c r="D55" s="15"/>
      <c r="E55" s="15"/>
    </row>
    <row r="56" spans="1:10" ht="23.5" x14ac:dyDescent="0.3">
      <c r="A56" s="326" t="s">
        <v>87</v>
      </c>
      <c r="B56" s="327"/>
      <c r="C56" s="327"/>
      <c r="D56" s="328" t="s">
        <v>199</v>
      </c>
      <c r="E56" s="15"/>
    </row>
    <row r="57" spans="1:10" ht="15.5" x14ac:dyDescent="0.35">
      <c r="A57" s="325" t="s">
        <v>198</v>
      </c>
      <c r="B57" s="325"/>
      <c r="C57" s="325"/>
      <c r="D57" s="329">
        <f>+D27</f>
        <v>420.30010238034299</v>
      </c>
      <c r="E57" s="15"/>
    </row>
    <row r="58" spans="1:10" ht="15.5" x14ac:dyDescent="0.35">
      <c r="A58" s="325" t="s">
        <v>193</v>
      </c>
      <c r="B58" s="325"/>
      <c r="C58" s="325"/>
      <c r="D58" s="329">
        <f>+D53/D15</f>
        <v>950.60675195575982</v>
      </c>
      <c r="E58" s="15"/>
    </row>
    <row r="59" spans="1:10" ht="15.5" x14ac:dyDescent="0.35">
      <c r="A59" s="325" t="s">
        <v>194</v>
      </c>
      <c r="B59" s="325"/>
      <c r="C59" s="325"/>
      <c r="D59" s="329">
        <f>+D53/D67</f>
        <v>1889.4624982202583</v>
      </c>
      <c r="E59" s="58" t="s">
        <v>196</v>
      </c>
    </row>
    <row r="60" spans="1:10" ht="15.5" x14ac:dyDescent="0.35">
      <c r="A60" s="325" t="s">
        <v>195</v>
      </c>
      <c r="B60" s="325"/>
      <c r="C60" s="325"/>
      <c r="D60" s="329">
        <f>+(F110+F111)/D67</f>
        <v>2091.6034619097827</v>
      </c>
      <c r="E60" s="58" t="s">
        <v>196</v>
      </c>
    </row>
    <row r="61" spans="1:10" x14ac:dyDescent="0.3">
      <c r="A61" s="58"/>
      <c r="B61" s="58"/>
      <c r="C61" s="58"/>
      <c r="D61" s="58"/>
      <c r="E61" s="58"/>
    </row>
    <row r="62" spans="1:10" ht="15.5" x14ac:dyDescent="0.35">
      <c r="A62" s="325" t="str">
        <f>+B13</f>
        <v>Superficie COMÚN cubiertas</v>
      </c>
      <c r="B62" s="325"/>
      <c r="C62" s="325"/>
      <c r="D62" s="330">
        <f>+C13</f>
        <v>0.23593013584696423</v>
      </c>
      <c r="E62" s="58"/>
    </row>
    <row r="63" spans="1:10" ht="15.5" x14ac:dyDescent="0.35">
      <c r="A63" s="325" t="s">
        <v>200</v>
      </c>
      <c r="B63" s="325"/>
      <c r="C63" s="331" t="s">
        <v>201</v>
      </c>
      <c r="D63" s="329">
        <f>+(F9+G9)/(F10+G10)</f>
        <v>30.363636363636363</v>
      </c>
      <c r="E63" s="58"/>
    </row>
    <row r="64" spans="1:10" x14ac:dyDescent="0.3">
      <c r="A64" s="15"/>
      <c r="B64" s="15"/>
      <c r="C64" s="15"/>
      <c r="D64" s="15"/>
      <c r="E64" s="15"/>
    </row>
    <row r="65" spans="1:8" x14ac:dyDescent="0.3">
      <c r="A65" s="2"/>
      <c r="B65" s="2"/>
      <c r="D65" s="124"/>
    </row>
    <row r="66" spans="1:8" ht="23.5" x14ac:dyDescent="0.3">
      <c r="A66" s="226" t="s">
        <v>53</v>
      </c>
      <c r="B66" s="72"/>
      <c r="C66" s="72"/>
      <c r="D66" s="125"/>
      <c r="E66" s="72"/>
      <c r="F66" s="72"/>
      <c r="G66" s="72"/>
    </row>
    <row r="67" spans="1:8" x14ac:dyDescent="0.3">
      <c r="A67" s="74"/>
      <c r="B67" s="75" t="s">
        <v>172</v>
      </c>
      <c r="C67" s="76">
        <v>0.98</v>
      </c>
      <c r="D67" s="114">
        <f>+D29</f>
        <v>3065.95</v>
      </c>
      <c r="E67" s="114">
        <f>+E29</f>
        <v>255</v>
      </c>
      <c r="F67" s="114">
        <f>+F29</f>
        <v>16</v>
      </c>
      <c r="G67" s="114">
        <f>+G29</f>
        <v>23</v>
      </c>
      <c r="H67" s="173"/>
    </row>
    <row r="68" spans="1:8" ht="21" x14ac:dyDescent="0.5">
      <c r="A68" s="74"/>
      <c r="B68" s="75" t="s">
        <v>54</v>
      </c>
      <c r="C68" s="74"/>
      <c r="D68" s="185">
        <v>2250</v>
      </c>
      <c r="E68" s="185">
        <f>+D68/3</f>
        <v>750</v>
      </c>
      <c r="F68" s="185">
        <v>25000</v>
      </c>
      <c r="G68" s="185">
        <v>22000</v>
      </c>
    </row>
    <row r="69" spans="1:8" ht="15.5" x14ac:dyDescent="0.35">
      <c r="A69" s="74"/>
      <c r="B69" s="344" t="s">
        <v>55</v>
      </c>
      <c r="C69" s="345"/>
      <c r="D69" s="346">
        <f>+D67*D68</f>
        <v>6898387.5</v>
      </c>
      <c r="E69" s="346">
        <f t="shared" ref="E69:G69" si="2">+E67*E68</f>
        <v>191250</v>
      </c>
      <c r="F69" s="346">
        <f t="shared" si="2"/>
        <v>400000</v>
      </c>
      <c r="G69" s="346">
        <f t="shared" si="2"/>
        <v>506000</v>
      </c>
    </row>
    <row r="70" spans="1:8" ht="18.5" x14ac:dyDescent="0.45">
      <c r="A70" s="74"/>
      <c r="B70" s="223" t="s">
        <v>56</v>
      </c>
      <c r="C70" s="224"/>
      <c r="D70" s="225">
        <f>SUM(D69:G69)</f>
        <v>7995637.5</v>
      </c>
      <c r="E70" s="78"/>
      <c r="F70" s="78"/>
      <c r="G70" s="78"/>
    </row>
    <row r="71" spans="1:8" x14ac:dyDescent="0.3">
      <c r="A71" s="74"/>
      <c r="B71" s="75" t="s">
        <v>57</v>
      </c>
      <c r="C71" s="75"/>
      <c r="D71" s="114"/>
      <c r="E71" s="57"/>
      <c r="F71" s="57"/>
      <c r="G71" s="57"/>
    </row>
    <row r="72" spans="1:8" x14ac:dyDescent="0.3">
      <c r="A72" s="74"/>
      <c r="B72" s="75" t="s">
        <v>58</v>
      </c>
      <c r="C72" s="112">
        <v>0.02</v>
      </c>
      <c r="D72" s="114">
        <f>D70*$C$72</f>
        <v>159912.75</v>
      </c>
      <c r="E72" s="57"/>
      <c r="F72" s="57"/>
      <c r="G72" s="57"/>
    </row>
    <row r="73" spans="1:8" x14ac:dyDescent="0.3">
      <c r="A73" s="74"/>
      <c r="B73" s="75" t="s">
        <v>97</v>
      </c>
      <c r="C73" s="112">
        <f>(3%+3.5%+1.2%)</f>
        <v>7.6999999999999999E-2</v>
      </c>
      <c r="D73" s="114">
        <f>D70*$C$73</f>
        <v>615664.08750000002</v>
      </c>
      <c r="E73" s="57"/>
      <c r="F73" s="57"/>
      <c r="G73" s="57"/>
    </row>
    <row r="74" spans="1:8" x14ac:dyDescent="0.3">
      <c r="A74" s="74"/>
      <c r="B74" s="79" t="s">
        <v>59</v>
      </c>
      <c r="C74" s="80"/>
      <c r="D74" s="126">
        <f>+D104</f>
        <v>-5822.7498761020834</v>
      </c>
      <c r="E74" s="57"/>
      <c r="F74" s="57"/>
      <c r="G74" s="57"/>
    </row>
    <row r="75" spans="1:8" ht="18.5" x14ac:dyDescent="0.45">
      <c r="A75" s="74"/>
      <c r="B75" s="223" t="s">
        <v>60</v>
      </c>
      <c r="C75" s="224">
        <f>+D75/D70</f>
        <v>9.6271759146646901E-2</v>
      </c>
      <c r="D75" s="225">
        <f>SUM(D72:D74)</f>
        <v>769754.08762389794</v>
      </c>
      <c r="E75" s="57"/>
      <c r="F75" s="57"/>
      <c r="G75" s="57"/>
    </row>
    <row r="76" spans="1:8" x14ac:dyDescent="0.3">
      <c r="A76" s="81"/>
      <c r="B76" s="82"/>
      <c r="C76" s="81"/>
      <c r="D76" s="127"/>
      <c r="E76" s="81"/>
      <c r="F76" s="77"/>
      <c r="G76" s="77"/>
    </row>
    <row r="77" spans="1:8" ht="23.5" x14ac:dyDescent="0.3">
      <c r="A77" s="226" t="s">
        <v>61</v>
      </c>
      <c r="B77" s="72"/>
      <c r="C77" s="72"/>
      <c r="D77" s="125"/>
      <c r="E77" s="72"/>
      <c r="F77" s="72"/>
      <c r="G77" s="72"/>
    </row>
    <row r="78" spans="1:8" x14ac:dyDescent="0.3">
      <c r="A78" s="74"/>
      <c r="B78" s="75" t="s">
        <v>53</v>
      </c>
      <c r="C78" s="75"/>
      <c r="D78" s="114">
        <f>+D70</f>
        <v>7995637.5</v>
      </c>
      <c r="E78" s="57"/>
      <c r="F78" s="57"/>
      <c r="G78" s="57"/>
    </row>
    <row r="79" spans="1:8" x14ac:dyDescent="0.3">
      <c r="A79" s="74"/>
      <c r="B79" s="75" t="s">
        <v>62</v>
      </c>
      <c r="C79" s="75"/>
      <c r="D79" s="114">
        <f>+D53</f>
        <v>5792997.5464184005</v>
      </c>
      <c r="E79" s="57"/>
      <c r="F79" s="57"/>
      <c r="G79" s="57"/>
    </row>
    <row r="80" spans="1:8" x14ac:dyDescent="0.3">
      <c r="A80" s="74"/>
      <c r="B80" s="75" t="s">
        <v>63</v>
      </c>
      <c r="C80" s="75"/>
      <c r="D80" s="114">
        <f>+D75</f>
        <v>769754.08762389794</v>
      </c>
      <c r="E80" s="57"/>
      <c r="F80" s="57"/>
      <c r="G80" s="57"/>
    </row>
    <row r="81" spans="1:7" x14ac:dyDescent="0.3">
      <c r="A81" s="74"/>
      <c r="B81" s="75"/>
      <c r="C81" s="75"/>
      <c r="D81" s="114"/>
      <c r="E81" s="57"/>
      <c r="F81" s="57"/>
      <c r="G81" s="57"/>
    </row>
    <row r="82" spans="1:7" ht="21" x14ac:dyDescent="0.3">
      <c r="A82" s="227" t="s">
        <v>31</v>
      </c>
      <c r="B82" s="227"/>
      <c r="C82" s="227"/>
      <c r="D82" s="228">
        <f>+D78-D79-D80</f>
        <v>1432885.8659577016</v>
      </c>
      <c r="E82" s="227"/>
      <c r="F82" s="227"/>
      <c r="G82" s="227"/>
    </row>
    <row r="83" spans="1:7" x14ac:dyDescent="0.3">
      <c r="B83" s="2"/>
      <c r="C83" s="66" t="s">
        <v>32</v>
      </c>
      <c r="D83" s="124"/>
      <c r="E83" s="30"/>
      <c r="F83" s="30"/>
      <c r="G83" s="30"/>
    </row>
    <row r="84" spans="1:7" x14ac:dyDescent="0.3">
      <c r="A84" s="74"/>
      <c r="B84" s="75" t="str">
        <f>+B44</f>
        <v>comision inmobiliaria por compra de la tierra</v>
      </c>
      <c r="C84" s="75"/>
      <c r="D84" s="114">
        <f>+C84*$D$68</f>
        <v>0</v>
      </c>
      <c r="E84" s="57"/>
      <c r="F84" s="57"/>
      <c r="G84" s="57"/>
    </row>
    <row r="85" spans="1:7" x14ac:dyDescent="0.3">
      <c r="A85" s="74"/>
      <c r="B85" s="75" t="s">
        <v>64</v>
      </c>
      <c r="C85" s="75">
        <v>0</v>
      </c>
      <c r="D85" s="114">
        <f>+C85*$D$68</f>
        <v>0</v>
      </c>
      <c r="E85" s="57"/>
      <c r="F85" s="57"/>
      <c r="G85" s="57"/>
    </row>
    <row r="86" spans="1:7" x14ac:dyDescent="0.3">
      <c r="A86" s="74"/>
      <c r="B86" s="75" t="s">
        <v>65</v>
      </c>
      <c r="C86" s="75"/>
      <c r="D86" s="114">
        <f>+C86*$D$68</f>
        <v>0</v>
      </c>
      <c r="E86" s="57"/>
      <c r="F86" s="57"/>
      <c r="G86" s="57"/>
    </row>
    <row r="87" spans="1:7" ht="21" x14ac:dyDescent="0.3">
      <c r="A87" s="227" t="s">
        <v>33</v>
      </c>
      <c r="B87" s="227"/>
      <c r="C87" s="227"/>
      <c r="D87" s="228">
        <f>+D82-D84-D85-D86</f>
        <v>1432885.8659577016</v>
      </c>
      <c r="E87" s="227"/>
      <c r="F87" s="227"/>
      <c r="G87" s="227"/>
    </row>
    <row r="88" spans="1:7" ht="21" x14ac:dyDescent="0.3">
      <c r="A88" s="229" t="s">
        <v>34</v>
      </c>
      <c r="B88" s="230"/>
      <c r="C88" s="231"/>
      <c r="D88" s="232">
        <f>+D87/D53</f>
        <v>0.24734791521594943</v>
      </c>
      <c r="E88" s="347"/>
      <c r="F88" s="83"/>
      <c r="G88" s="83"/>
    </row>
    <row r="89" spans="1:7" x14ac:dyDescent="0.3">
      <c r="B89" s="2"/>
      <c r="D89" s="124"/>
    </row>
    <row r="90" spans="1:7" x14ac:dyDescent="0.3">
      <c r="A90" s="84"/>
      <c r="B90" s="86" t="s">
        <v>66</v>
      </c>
      <c r="C90" s="87"/>
      <c r="D90" s="128"/>
      <c r="E90" s="85"/>
      <c r="F90" s="85"/>
    </row>
    <row r="91" spans="1:7" x14ac:dyDescent="0.3">
      <c r="B91" s="2"/>
      <c r="D91" s="124"/>
    </row>
    <row r="92" spans="1:7" x14ac:dyDescent="0.3">
      <c r="B92" s="58" t="s">
        <v>67</v>
      </c>
      <c r="D92" s="124"/>
    </row>
    <row r="93" spans="1:7" x14ac:dyDescent="0.3">
      <c r="B93" s="88" t="str">
        <f>+A53</f>
        <v>COSTO TOTAL (Obra + Cash x Terreno + varios)</v>
      </c>
      <c r="D93" s="129">
        <f>SUM(D94:D95)</f>
        <v>7160110.0464184005</v>
      </c>
    </row>
    <row r="94" spans="1:7" x14ac:dyDescent="0.3">
      <c r="B94" s="88" t="s">
        <v>93</v>
      </c>
      <c r="C94" s="348">
        <f>+D94/D93</f>
        <v>0.78811603590382195</v>
      </c>
      <c r="D94" s="130">
        <f>D51</f>
        <v>5642997.5464184005</v>
      </c>
    </row>
    <row r="95" spans="1:7" x14ac:dyDescent="0.3">
      <c r="B95" s="2" t="s">
        <v>35</v>
      </c>
      <c r="C95" s="348">
        <f>+D95/D93</f>
        <v>0.21188396409617805</v>
      </c>
      <c r="D95" s="124">
        <f>+D25</f>
        <v>1517112.5</v>
      </c>
      <c r="E95" s="173"/>
    </row>
    <row r="96" spans="1:7" x14ac:dyDescent="0.3">
      <c r="B96" s="2"/>
      <c r="D96" s="124"/>
    </row>
    <row r="97" spans="1:10" x14ac:dyDescent="0.3">
      <c r="B97" s="58" t="s">
        <v>68</v>
      </c>
      <c r="D97" s="124"/>
    </row>
    <row r="98" spans="1:10" x14ac:dyDescent="0.3">
      <c r="B98" s="88" t="str">
        <f>+B70</f>
        <v>Total ventas</v>
      </c>
      <c r="D98" s="129">
        <f>+D70</f>
        <v>7995637.5</v>
      </c>
    </row>
    <row r="99" spans="1:10" x14ac:dyDescent="0.3">
      <c r="B99" s="88" t="s">
        <v>69</v>
      </c>
      <c r="C99" s="348">
        <f>+C94</f>
        <v>0.78811603590382195</v>
      </c>
      <c r="D99" s="130">
        <f>+D98*C99</f>
        <v>6301490.1310239453</v>
      </c>
    </row>
    <row r="100" spans="1:10" x14ac:dyDescent="0.3">
      <c r="B100" s="88" t="s">
        <v>70</v>
      </c>
      <c r="C100" s="348">
        <f>+C95</f>
        <v>0.21188396409617805</v>
      </c>
      <c r="D100" s="124">
        <f>+D98*C100</f>
        <v>1694147.3689760547</v>
      </c>
    </row>
    <row r="101" spans="1:10" x14ac:dyDescent="0.3">
      <c r="B101" s="2"/>
      <c r="D101" s="124"/>
    </row>
    <row r="102" spans="1:10" x14ac:dyDescent="0.3">
      <c r="B102" s="2" t="s">
        <v>71</v>
      </c>
      <c r="C102" s="291">
        <v>0.105</v>
      </c>
      <c r="D102" s="124">
        <f>+D99/(1+C102)*C102</f>
        <v>598784.13009729795</v>
      </c>
      <c r="F102" s="124"/>
      <c r="G102" s="173"/>
    </row>
    <row r="103" spans="1:10" x14ac:dyDescent="0.3">
      <c r="B103" s="2" t="s">
        <v>67</v>
      </c>
      <c r="D103" s="124">
        <f>+D50</f>
        <v>604606.87997340003</v>
      </c>
    </row>
    <row r="104" spans="1:10" x14ac:dyDescent="0.3">
      <c r="B104" s="106" t="s">
        <v>72</v>
      </c>
      <c r="C104" s="106"/>
      <c r="D104" s="131">
        <f>D102-D103</f>
        <v>-5822.7498761020834</v>
      </c>
    </row>
    <row r="105" spans="1:10" x14ac:dyDescent="0.3">
      <c r="B105" s="2"/>
      <c r="D105" s="124"/>
    </row>
    <row r="106" spans="1:10" x14ac:dyDescent="0.3">
      <c r="B106" s="2"/>
      <c r="D106" s="124"/>
    </row>
    <row r="107" spans="1:10" ht="23.5" x14ac:dyDescent="0.55000000000000004">
      <c r="A107" s="68">
        <v>2</v>
      </c>
      <c r="B107" s="69" t="s">
        <v>36</v>
      </c>
      <c r="C107" s="70"/>
      <c r="D107" s="115"/>
      <c r="E107" s="71"/>
      <c r="F107" s="70"/>
      <c r="G107" s="70"/>
      <c r="H107" s="68"/>
      <c r="I107" s="68"/>
      <c r="J107" s="68"/>
    </row>
    <row r="108" spans="1:10" x14ac:dyDescent="0.3">
      <c r="A108" s="2"/>
      <c r="B108" s="2"/>
      <c r="D108" s="124"/>
    </row>
    <row r="109" spans="1:10" x14ac:dyDescent="0.3">
      <c r="A109" s="2"/>
      <c r="B109" s="73" t="s">
        <v>37</v>
      </c>
      <c r="C109" s="73"/>
      <c r="D109" s="132"/>
      <c r="E109" s="73"/>
      <c r="F109" s="73" t="s">
        <v>2</v>
      </c>
    </row>
    <row r="110" spans="1:10" x14ac:dyDescent="0.3">
      <c r="A110" s="2"/>
      <c r="B110" s="58" t="s">
        <v>13</v>
      </c>
      <c r="D110" s="124"/>
      <c r="F110" s="107">
        <f>D51</f>
        <v>5642997.5464184005</v>
      </c>
    </row>
    <row r="111" spans="1:10" x14ac:dyDescent="0.3">
      <c r="A111" s="2"/>
      <c r="B111" s="58" t="s">
        <v>63</v>
      </c>
      <c r="D111" s="124"/>
      <c r="F111" s="30">
        <f>D80</f>
        <v>769754.08762389794</v>
      </c>
    </row>
    <row r="112" spans="1:10" x14ac:dyDescent="0.3">
      <c r="A112" s="2"/>
      <c r="B112" s="58" t="s">
        <v>9</v>
      </c>
      <c r="D112" s="124"/>
      <c r="F112" s="173">
        <f>+D52</f>
        <v>150000</v>
      </c>
    </row>
    <row r="113" spans="1:17" x14ac:dyDescent="0.3">
      <c r="B113" s="153" t="s">
        <v>101</v>
      </c>
      <c r="C113" s="153" t="s">
        <v>102</v>
      </c>
      <c r="D113" s="153"/>
      <c r="E113" s="153" t="s">
        <v>103</v>
      </c>
      <c r="F113" s="154"/>
    </row>
    <row r="114" spans="1:17" ht="21" x14ac:dyDescent="0.5">
      <c r="A114" s="2"/>
      <c r="B114" s="354" t="s">
        <v>38</v>
      </c>
      <c r="C114" s="354"/>
      <c r="D114" s="355"/>
      <c r="E114" s="354"/>
      <c r="F114" s="354">
        <f>SUM(F110:F113)</f>
        <v>6562751.6340422984</v>
      </c>
    </row>
    <row r="115" spans="1:17" x14ac:dyDescent="0.3">
      <c r="A115" s="2"/>
      <c r="B115" s="2"/>
      <c r="D115" s="124"/>
    </row>
    <row r="116" spans="1:17" ht="15.5" x14ac:dyDescent="0.35">
      <c r="A116" s="45" t="s">
        <v>24</v>
      </c>
      <c r="B116" s="45"/>
      <c r="C116" s="46"/>
      <c r="D116" s="133"/>
      <c r="E116" s="46"/>
      <c r="F116" s="46"/>
      <c r="G116" s="46"/>
      <c r="H116" s="46"/>
      <c r="I116" s="46"/>
      <c r="J116" s="46"/>
    </row>
    <row r="117" spans="1:17" ht="15.5" x14ac:dyDescent="0.35">
      <c r="A117" s="4"/>
      <c r="B117" s="47" t="s">
        <v>25</v>
      </c>
      <c r="C117" s="49" t="s">
        <v>40</v>
      </c>
      <c r="D117" s="134" t="s">
        <v>39</v>
      </c>
      <c r="E117" s="49" t="s">
        <v>26</v>
      </c>
      <c r="F117" s="49" t="s">
        <v>143</v>
      </c>
      <c r="G117" s="50" t="s">
        <v>49</v>
      </c>
      <c r="H117" s="49" t="str">
        <f>+G4</f>
        <v>cocheras SS</v>
      </c>
      <c r="I117" s="49" t="s">
        <v>98</v>
      </c>
      <c r="J117" s="50" t="s">
        <v>99</v>
      </c>
    </row>
    <row r="118" spans="1:17" x14ac:dyDescent="0.3">
      <c r="A118" s="36"/>
      <c r="B118" s="36" t="s">
        <v>27</v>
      </c>
      <c r="D118" s="38">
        <v>-0.15</v>
      </c>
      <c r="E118" s="51">
        <f>+E123+(E123*D118)</f>
        <v>1912.5</v>
      </c>
      <c r="F118" s="51">
        <f>+F123+(F123*D118)</f>
        <v>637.5</v>
      </c>
      <c r="G118" s="51">
        <f>+G123+(G123*D118)</f>
        <v>21250</v>
      </c>
      <c r="H118" s="51">
        <f>+H123+(H123*D118)</f>
        <v>18700</v>
      </c>
      <c r="I118" s="51"/>
      <c r="J118" s="51"/>
    </row>
    <row r="119" spans="1:17" x14ac:dyDescent="0.3">
      <c r="A119" s="36"/>
      <c r="B119" s="36" t="s">
        <v>28</v>
      </c>
      <c r="C119" s="38">
        <v>0.3</v>
      </c>
      <c r="D119" s="142"/>
      <c r="E119" s="52">
        <f>$D$29*C119</f>
        <v>919.78499999999997</v>
      </c>
      <c r="F119" s="52"/>
      <c r="G119" s="52">
        <f>$F$29*C119</f>
        <v>4.8</v>
      </c>
      <c r="H119" s="52">
        <v>0</v>
      </c>
      <c r="I119" s="52"/>
      <c r="J119" s="52"/>
      <c r="Q119" s="54"/>
    </row>
    <row r="120" spans="1:17" ht="13.5" thickBot="1" x14ac:dyDescent="0.35">
      <c r="A120" s="36"/>
      <c r="B120" s="41" t="s">
        <v>43</v>
      </c>
      <c r="C120" s="61"/>
      <c r="D120" s="143"/>
      <c r="E120" s="53">
        <f>E119*E118</f>
        <v>1759088.8125</v>
      </c>
      <c r="F120" s="53">
        <f>F119*F118</f>
        <v>0</v>
      </c>
      <c r="G120" s="53">
        <f>G119*G118</f>
        <v>102000</v>
      </c>
      <c r="H120" s="53">
        <f>H119*H118</f>
        <v>0</v>
      </c>
      <c r="I120" s="146">
        <v>1</v>
      </c>
      <c r="J120" s="146">
        <f>1-I120</f>
        <v>0</v>
      </c>
      <c r="Q120" s="54"/>
    </row>
    <row r="121" spans="1:17" ht="16" thickBot="1" x14ac:dyDescent="0.4">
      <c r="A121" s="36"/>
      <c r="B121" s="55"/>
      <c r="C121" s="37"/>
      <c r="D121" s="142"/>
      <c r="E121" s="44">
        <f>E120+F120+G120+H120</f>
        <v>1861088.8125</v>
      </c>
      <c r="F121" s="1"/>
      <c r="G121" s="56"/>
      <c r="H121" s="1"/>
      <c r="I121" s="147">
        <f>+I120*E121</f>
        <v>1861088.8125</v>
      </c>
      <c r="J121" s="91">
        <f>+E121-I121</f>
        <v>0</v>
      </c>
      <c r="Q121" s="54"/>
    </row>
    <row r="122" spans="1:17" ht="15.5" x14ac:dyDescent="0.35">
      <c r="A122" s="36"/>
      <c r="B122" s="47" t="s">
        <v>29</v>
      </c>
      <c r="C122" s="48"/>
      <c r="D122" s="144"/>
      <c r="E122" s="49" t="s">
        <v>26</v>
      </c>
      <c r="F122" s="49" t="str">
        <f>+F117</f>
        <v>local</v>
      </c>
      <c r="G122" s="50" t="s">
        <v>49</v>
      </c>
      <c r="H122" s="49" t="str">
        <f>+H117</f>
        <v>cocheras SS</v>
      </c>
      <c r="I122" s="51"/>
      <c r="J122" s="51"/>
      <c r="Q122" s="54"/>
    </row>
    <row r="123" spans="1:17" x14ac:dyDescent="0.3">
      <c r="A123" s="36"/>
      <c r="B123" s="36" t="s">
        <v>27</v>
      </c>
      <c r="C123" s="145" t="s">
        <v>41</v>
      </c>
      <c r="D123" s="63">
        <v>0</v>
      </c>
      <c r="E123" s="64">
        <f>+D68</f>
        <v>2250</v>
      </c>
      <c r="F123" s="64">
        <f>+E68</f>
        <v>750</v>
      </c>
      <c r="G123" s="64">
        <f>+F68</f>
        <v>25000</v>
      </c>
      <c r="H123" s="64">
        <f>+G68</f>
        <v>22000</v>
      </c>
      <c r="I123" s="51"/>
      <c r="J123" s="51"/>
      <c r="K123" s="58"/>
      <c r="Q123" s="54"/>
    </row>
    <row r="124" spans="1:17" x14ac:dyDescent="0.3">
      <c r="A124" s="36"/>
      <c r="B124" s="36" t="s">
        <v>28</v>
      </c>
      <c r="C124" s="38">
        <v>0.3</v>
      </c>
      <c r="D124" s="142"/>
      <c r="E124" s="52">
        <f>$D$29*C124</f>
        <v>919.78499999999997</v>
      </c>
      <c r="F124" s="52">
        <v>100</v>
      </c>
      <c r="G124" s="52">
        <f>$F$29*C124</f>
        <v>4.8</v>
      </c>
      <c r="H124" s="52">
        <f>$G$29*C124</f>
        <v>6.8999999999999995</v>
      </c>
      <c r="I124" s="52"/>
      <c r="J124" s="52"/>
      <c r="K124" s="58"/>
      <c r="Q124" s="54"/>
    </row>
    <row r="125" spans="1:17" ht="13.5" thickBot="1" x14ac:dyDescent="0.35">
      <c r="A125" s="36"/>
      <c r="B125" s="41" t="s">
        <v>45</v>
      </c>
      <c r="C125" s="61"/>
      <c r="D125" s="143"/>
      <c r="E125" s="53">
        <f>E124*E123</f>
        <v>2069516.25</v>
      </c>
      <c r="F125" s="53">
        <f>F124*F123</f>
        <v>75000</v>
      </c>
      <c r="G125" s="53">
        <f>G124*G123</f>
        <v>120000</v>
      </c>
      <c r="H125" s="53">
        <f>H124*H123</f>
        <v>151800</v>
      </c>
      <c r="I125" s="146">
        <v>0.75</v>
      </c>
      <c r="J125" s="146">
        <f>1-I125</f>
        <v>0.25</v>
      </c>
      <c r="K125" s="58"/>
      <c r="M125" s="32"/>
      <c r="N125" s="32"/>
      <c r="P125" s="32"/>
      <c r="Q125" s="54"/>
    </row>
    <row r="126" spans="1:17" ht="16" thickBot="1" x14ac:dyDescent="0.4">
      <c r="A126" s="36"/>
      <c r="B126" s="55"/>
      <c r="C126" s="37"/>
      <c r="D126" s="142"/>
      <c r="E126" s="44">
        <f>E125+F125+G125+H125</f>
        <v>2416316.25</v>
      </c>
      <c r="F126" s="1"/>
      <c r="G126" s="56"/>
      <c r="H126" s="1"/>
      <c r="I126" s="147">
        <f>+I125*E126</f>
        <v>1812237.1875</v>
      </c>
      <c r="J126" s="91">
        <f>+E126-I126</f>
        <v>604079.0625</v>
      </c>
      <c r="K126" s="58"/>
      <c r="M126" s="32"/>
      <c r="N126" s="32"/>
      <c r="P126" s="32"/>
      <c r="Q126" s="54"/>
    </row>
    <row r="127" spans="1:17" ht="15.5" x14ac:dyDescent="0.35">
      <c r="A127" s="36"/>
      <c r="B127" s="47" t="s">
        <v>30</v>
      </c>
      <c r="C127" s="48"/>
      <c r="D127" s="144"/>
      <c r="E127" s="49" t="s">
        <v>26</v>
      </c>
      <c r="F127" s="49" t="str">
        <f>+F122</f>
        <v>local</v>
      </c>
      <c r="G127" s="50" t="s">
        <v>49</v>
      </c>
      <c r="H127" s="49" t="str">
        <f>+H122</f>
        <v>cocheras SS</v>
      </c>
      <c r="I127" s="51"/>
      <c r="J127" s="51"/>
      <c r="M127" s="32"/>
      <c r="N127" s="32"/>
      <c r="P127" s="32"/>
      <c r="Q127" s="54"/>
    </row>
    <row r="128" spans="1:17" x14ac:dyDescent="0.3">
      <c r="A128" s="36"/>
      <c r="B128" s="36" t="s">
        <v>27</v>
      </c>
      <c r="D128" s="38">
        <v>0.15</v>
      </c>
      <c r="E128" s="51">
        <f>+E123+E123*D128</f>
        <v>2587.5</v>
      </c>
      <c r="F128" s="51">
        <f>+F123+F123*D128</f>
        <v>862.5</v>
      </c>
      <c r="G128" s="51">
        <f>+G123+G123*D128</f>
        <v>28750</v>
      </c>
      <c r="H128" s="51">
        <f>+H123+H123*D128</f>
        <v>25300</v>
      </c>
      <c r="I128" s="51"/>
      <c r="J128" s="51"/>
      <c r="M128" s="32"/>
      <c r="N128" s="32"/>
      <c r="P128" s="32"/>
      <c r="Q128" s="54"/>
    </row>
    <row r="129" spans="1:17" x14ac:dyDescent="0.3">
      <c r="A129" s="36"/>
      <c r="B129" s="36" t="s">
        <v>28</v>
      </c>
      <c r="C129" s="38">
        <f>1-C119-C124</f>
        <v>0.39999999999999997</v>
      </c>
      <c r="D129" s="142"/>
      <c r="E129" s="52">
        <f>$D$29*C129</f>
        <v>1226.3799999999999</v>
      </c>
      <c r="F129" s="52">
        <v>107</v>
      </c>
      <c r="G129" s="52">
        <f>$F$29*C129</f>
        <v>6.3999999999999995</v>
      </c>
      <c r="H129" s="52">
        <f>$G$29*C129</f>
        <v>9.1999999999999993</v>
      </c>
      <c r="I129" s="52"/>
      <c r="J129" s="52"/>
      <c r="M129" s="32"/>
      <c r="N129" s="32"/>
      <c r="P129" s="32"/>
      <c r="Q129" s="54"/>
    </row>
    <row r="130" spans="1:17" ht="13.5" thickBot="1" x14ac:dyDescent="0.35">
      <c r="A130" s="36"/>
      <c r="B130" s="41" t="s">
        <v>44</v>
      </c>
      <c r="C130" s="61"/>
      <c r="D130" s="135"/>
      <c r="E130" s="53">
        <f>E129*E128</f>
        <v>3173258.2499999995</v>
      </c>
      <c r="F130" s="53">
        <f>F129*F128</f>
        <v>92287.5</v>
      </c>
      <c r="G130" s="53">
        <f>G129*G128</f>
        <v>183999.99999999997</v>
      </c>
      <c r="H130" s="53">
        <f>H129*H128</f>
        <v>232759.99999999997</v>
      </c>
      <c r="I130" s="146">
        <v>0.35</v>
      </c>
      <c r="J130" s="146">
        <f>1-I130</f>
        <v>0.65</v>
      </c>
      <c r="M130" s="32"/>
      <c r="N130" s="32"/>
      <c r="P130" s="32"/>
      <c r="Q130" s="54"/>
    </row>
    <row r="131" spans="1:17" ht="16" thickBot="1" x14ac:dyDescent="0.4">
      <c r="A131" s="36"/>
      <c r="B131" s="55"/>
      <c r="C131" s="37"/>
      <c r="D131" s="118"/>
      <c r="E131" s="44">
        <f>SUM(E130:H130)</f>
        <v>3682305.7499999995</v>
      </c>
      <c r="F131" s="1"/>
      <c r="G131" s="56"/>
      <c r="H131" s="1"/>
      <c r="I131" s="147">
        <f>+I130*E131</f>
        <v>1288807.0124999997</v>
      </c>
      <c r="J131" s="91">
        <f>+E131-I131</f>
        <v>2393498.7374999998</v>
      </c>
      <c r="M131" s="32"/>
      <c r="N131" s="32"/>
      <c r="P131" s="32"/>
      <c r="Q131" s="54"/>
    </row>
    <row r="132" spans="1:17" ht="13.5" thickBot="1" x14ac:dyDescent="0.35">
      <c r="A132" s="36"/>
      <c r="B132" s="55"/>
      <c r="C132" s="111"/>
      <c r="D132" s="118"/>
      <c r="F132" s="1"/>
      <c r="G132" s="56"/>
      <c r="H132" s="1"/>
      <c r="I132" s="1"/>
      <c r="J132" s="148"/>
    </row>
    <row r="133" spans="1:17" ht="21.5" thickBot="1" x14ac:dyDescent="0.55000000000000004">
      <c r="A133" s="36"/>
      <c r="B133" s="149" t="s">
        <v>100</v>
      </c>
      <c r="C133" s="150"/>
      <c r="D133" s="151"/>
      <c r="E133" s="152">
        <f>+E121+E126+E131</f>
        <v>7959710.8125</v>
      </c>
      <c r="F133" s="109"/>
      <c r="G133" s="56"/>
      <c r="H133" s="1"/>
      <c r="I133" s="351">
        <f>I131+I126+I121</f>
        <v>4962133.0124999993</v>
      </c>
      <c r="J133" s="352">
        <f>J131+J126+J121</f>
        <v>2997577.8</v>
      </c>
    </row>
    <row r="134" spans="1:17" x14ac:dyDescent="0.3">
      <c r="I134" s="353">
        <f>+I133/E133</f>
        <v>0.62340619268572195</v>
      </c>
      <c r="J134" s="353">
        <f>+J133/E133</f>
        <v>0.37659380731427794</v>
      </c>
    </row>
    <row r="136" spans="1:17" x14ac:dyDescent="0.3">
      <c r="B136" s="156"/>
      <c r="C136" s="156" t="s">
        <v>118</v>
      </c>
      <c r="E136" s="156" t="str">
        <f>+I117</f>
        <v>Ingreso durante la obra</v>
      </c>
      <c r="G136" s="148"/>
      <c r="I136" s="156" t="str">
        <f>+I117</f>
        <v>Ingreso durante la obra</v>
      </c>
      <c r="J136" s="156" t="str">
        <f>+J117</f>
        <v>Ingreso post entrega</v>
      </c>
    </row>
    <row r="137" spans="1:17" x14ac:dyDescent="0.3">
      <c r="B137" s="155" t="str">
        <f>+B120</f>
        <v xml:space="preserve">TOTAL PREVENTA </v>
      </c>
      <c r="C137" s="155">
        <f>+E137/($E$141)</f>
        <v>0.37505822754282736</v>
      </c>
      <c r="E137" s="153">
        <f>+I121</f>
        <v>1861088.8125</v>
      </c>
      <c r="G137" s="148"/>
      <c r="I137" s="157">
        <f>+I121</f>
        <v>1861088.8125</v>
      </c>
      <c r="J137" s="157">
        <f>+J121</f>
        <v>0</v>
      </c>
    </row>
    <row r="138" spans="1:17" x14ac:dyDescent="0.3">
      <c r="B138" s="155" t="str">
        <f>+B125</f>
        <v xml:space="preserve">TOTAL VENTA DURANTE LA OBRA </v>
      </c>
      <c r="C138" s="155">
        <f t="shared" ref="C138:C140" si="3">+E138/($E$141)</f>
        <v>0.36521334332127603</v>
      </c>
      <c r="E138" s="153">
        <f>+I126</f>
        <v>1812237.1875</v>
      </c>
      <c r="G138" s="148"/>
      <c r="I138" s="157">
        <f>+I126</f>
        <v>1812237.1875</v>
      </c>
      <c r="J138" s="157">
        <f>+J126</f>
        <v>604079.0625</v>
      </c>
    </row>
    <row r="139" spans="1:17" x14ac:dyDescent="0.3">
      <c r="B139" s="153" t="str">
        <f>+B130</f>
        <v xml:space="preserve">TOTAL VENTA TERMINADO </v>
      </c>
      <c r="C139" s="155">
        <f t="shared" si="3"/>
        <v>0.25972842913589672</v>
      </c>
      <c r="E139" s="153">
        <f>+I131</f>
        <v>1288807.0124999997</v>
      </c>
      <c r="G139" s="148"/>
      <c r="I139" s="157">
        <f>+I131</f>
        <v>1288807.0124999997</v>
      </c>
      <c r="J139" s="157">
        <f>+J131</f>
        <v>2393498.7374999998</v>
      </c>
    </row>
    <row r="140" spans="1:17" ht="13.5" thickBot="1" x14ac:dyDescent="0.35">
      <c r="B140" s="155" t="s">
        <v>104</v>
      </c>
      <c r="C140" s="155">
        <f t="shared" si="3"/>
        <v>0</v>
      </c>
      <c r="E140" s="153">
        <f>+D113</f>
        <v>0</v>
      </c>
      <c r="G140" s="148"/>
      <c r="I140" s="148"/>
      <c r="J140" s="148"/>
    </row>
    <row r="141" spans="1:17" ht="13.5" thickBot="1" x14ac:dyDescent="0.35">
      <c r="B141" s="158" t="s">
        <v>105</v>
      </c>
      <c r="C141" s="159" t="s">
        <v>32</v>
      </c>
      <c r="E141" s="160">
        <f>SUM(E137:E140)</f>
        <v>4962133.0124999993</v>
      </c>
      <c r="G141" s="148"/>
      <c r="I141" s="91">
        <f>SUM(I137:I140)</f>
        <v>4962133.0124999993</v>
      </c>
      <c r="J141" s="91">
        <f>SUM(J137:J140)</f>
        <v>2997577.8</v>
      </c>
    </row>
    <row r="142" spans="1:17" x14ac:dyDescent="0.3">
      <c r="B142" s="356" t="str">
        <f>+B114</f>
        <v>Total Inversion</v>
      </c>
      <c r="C142" s="357"/>
      <c r="E142" s="356">
        <f>+F114</f>
        <v>6562751.6340422984</v>
      </c>
      <c r="G142" s="148"/>
    </row>
    <row r="143" spans="1:17" ht="13.5" thickBot="1" x14ac:dyDescent="0.35">
      <c r="B143" s="153"/>
      <c r="C143" s="153"/>
      <c r="E143" s="153"/>
      <c r="G143" s="148"/>
      <c r="I143" s="148"/>
    </row>
    <row r="144" spans="1:17" ht="21.5" thickBot="1" x14ac:dyDescent="0.55000000000000004">
      <c r="B144" s="169" t="s">
        <v>106</v>
      </c>
      <c r="C144" s="170"/>
      <c r="D144" s="171"/>
      <c r="E144" s="172">
        <f>+E142-E141</f>
        <v>1600618.6215422992</v>
      </c>
      <c r="F144" s="124"/>
      <c r="G144" s="148"/>
      <c r="H144" s="148"/>
      <c r="I144" s="148"/>
    </row>
    <row r="145" spans="1:34" x14ac:dyDescent="0.3">
      <c r="B145" s="153"/>
      <c r="C145" s="153"/>
      <c r="E145" s="153"/>
      <c r="I145" s="148"/>
    </row>
    <row r="146" spans="1:34" x14ac:dyDescent="0.3">
      <c r="B146" s="153"/>
      <c r="C146" s="153"/>
      <c r="E146" s="153"/>
    </row>
    <row r="147" spans="1:34" x14ac:dyDescent="0.3">
      <c r="B147" s="156" t="s">
        <v>107</v>
      </c>
      <c r="C147" s="164" t="s">
        <v>117</v>
      </c>
      <c r="E147" s="164" t="s">
        <v>116</v>
      </c>
    </row>
    <row r="148" spans="1:34" x14ac:dyDescent="0.3">
      <c r="B148" s="153" t="s">
        <v>108</v>
      </c>
      <c r="C148" s="153"/>
      <c r="E148" s="153">
        <f>+J141</f>
        <v>2997577.8</v>
      </c>
    </row>
    <row r="149" spans="1:34" ht="13.5" thickBot="1" x14ac:dyDescent="0.35">
      <c r="B149" s="153" t="s">
        <v>109</v>
      </c>
      <c r="C149" s="153"/>
      <c r="E149" s="153">
        <f>-E140</f>
        <v>0</v>
      </c>
    </row>
    <row r="150" spans="1:34" ht="15" thickBot="1" x14ac:dyDescent="0.4">
      <c r="B150" s="161" t="s">
        <v>110</v>
      </c>
      <c r="C150" s="162"/>
      <c r="E150" s="163">
        <f>SUM(E148:E149)</f>
        <v>2997577.8</v>
      </c>
      <c r="G150" s="148"/>
      <c r="H150" s="148"/>
      <c r="I150" s="148"/>
    </row>
    <row r="151" spans="1:34" ht="13.5" thickBot="1" x14ac:dyDescent="0.35">
      <c r="B151" s="153"/>
      <c r="C151" s="153"/>
      <c r="E151" s="153"/>
      <c r="G151" s="148"/>
      <c r="H151" s="148"/>
      <c r="I151" s="148"/>
    </row>
    <row r="152" spans="1:34" ht="21.5" thickBot="1" x14ac:dyDescent="0.55000000000000004">
      <c r="B152" s="169" t="s">
        <v>111</v>
      </c>
      <c r="C152" s="367">
        <f>+E152/E144</f>
        <v>0.87276204316031292</v>
      </c>
      <c r="D152" s="171"/>
      <c r="E152" s="172">
        <f>+E150-E144</f>
        <v>1396959.1784577006</v>
      </c>
      <c r="G152" s="148"/>
      <c r="H152" s="148"/>
      <c r="I152" s="148"/>
    </row>
    <row r="153" spans="1:34" x14ac:dyDescent="0.3">
      <c r="B153" s="165" t="s">
        <v>112</v>
      </c>
      <c r="C153" s="166">
        <v>0.05</v>
      </c>
      <c r="E153" s="167">
        <f>+$E$152*C153</f>
        <v>69847.958922885038</v>
      </c>
      <c r="G153" s="148"/>
      <c r="H153" s="148"/>
      <c r="I153" s="148"/>
    </row>
    <row r="154" spans="1:34" x14ac:dyDescent="0.3">
      <c r="B154" s="165" t="s">
        <v>113</v>
      </c>
      <c r="C154" s="166">
        <v>0.2</v>
      </c>
      <c r="D154" s="2"/>
      <c r="E154" s="167">
        <f>+$E$152*C154</f>
        <v>279391.83569154015</v>
      </c>
      <c r="G154" s="94"/>
      <c r="H154" s="148"/>
      <c r="I154" s="148"/>
    </row>
    <row r="155" spans="1:34" x14ac:dyDescent="0.3">
      <c r="B155" s="165" t="s">
        <v>114</v>
      </c>
      <c r="C155" s="166">
        <f>1-C153-C154</f>
        <v>0.75</v>
      </c>
      <c r="D155" s="2"/>
      <c r="E155" s="167">
        <f>+$E$152*C155</f>
        <v>1047719.3838432755</v>
      </c>
      <c r="F155" s="124"/>
      <c r="G155" s="148"/>
      <c r="H155" s="148"/>
      <c r="I155" s="148"/>
    </row>
    <row r="156" spans="1:34" ht="21" x14ac:dyDescent="0.5">
      <c r="B156" s="358" t="s">
        <v>115</v>
      </c>
      <c r="C156" s="359"/>
      <c r="D156" s="360"/>
      <c r="E156" s="361">
        <f>+E155/E144</f>
        <v>0.65457153237023469</v>
      </c>
      <c r="G156" s="94"/>
      <c r="H156" s="148"/>
      <c r="I156" s="148"/>
    </row>
    <row r="157" spans="1:34" x14ac:dyDescent="0.3">
      <c r="B157" s="168"/>
      <c r="C157" s="148"/>
      <c r="D157" s="148"/>
      <c r="E157" s="148"/>
      <c r="F157" s="148"/>
      <c r="G157" s="94"/>
      <c r="H157" s="148"/>
      <c r="I157" s="148"/>
    </row>
    <row r="159" spans="1:34" x14ac:dyDescent="0.3">
      <c r="M159" s="94"/>
      <c r="N159" s="94"/>
      <c r="O159" s="94"/>
      <c r="P159" s="94"/>
      <c r="Q159" s="94"/>
      <c r="R159" s="94"/>
      <c r="S159" s="94"/>
      <c r="T159" s="94"/>
      <c r="U159" s="94"/>
      <c r="V159" s="94"/>
      <c r="W159" s="94"/>
      <c r="X159" s="94"/>
      <c r="Y159" s="94"/>
      <c r="Z159" s="94"/>
      <c r="AA159" s="94"/>
      <c r="AB159" s="94"/>
      <c r="AC159" s="94"/>
      <c r="AD159" s="94"/>
      <c r="AE159" s="94"/>
      <c r="AF159" s="94"/>
      <c r="AG159" s="94"/>
      <c r="AH159" s="94"/>
    </row>
    <row r="160" spans="1:34" ht="23.5" x14ac:dyDescent="0.55000000000000004">
      <c r="A160" s="68">
        <v>3</v>
      </c>
      <c r="B160" s="69" t="s">
        <v>75</v>
      </c>
      <c r="C160" s="70"/>
      <c r="D160" s="115"/>
      <c r="E160" s="71"/>
      <c r="F160" s="70"/>
      <c r="G160" s="70"/>
      <c r="H160" s="70"/>
      <c r="M160" s="94"/>
      <c r="N160" s="94"/>
      <c r="O160" s="94"/>
      <c r="P160" s="94"/>
      <c r="Q160" s="94"/>
      <c r="R160" s="94"/>
      <c r="S160" s="94"/>
      <c r="T160" s="94"/>
      <c r="U160" s="94"/>
      <c r="V160" s="94"/>
      <c r="W160" s="94"/>
      <c r="X160" s="94"/>
      <c r="Y160" s="94"/>
      <c r="Z160" s="94"/>
      <c r="AA160" s="94"/>
      <c r="AB160" s="94"/>
      <c r="AC160" s="94"/>
      <c r="AD160" s="94"/>
      <c r="AE160" s="94"/>
      <c r="AF160" s="94"/>
      <c r="AG160" s="94"/>
      <c r="AH160" s="94"/>
    </row>
    <row r="161" spans="1:34" x14ac:dyDescent="0.3">
      <c r="B161" s="58"/>
      <c r="C161" s="58"/>
      <c r="E161" s="94"/>
      <c r="F161" s="94"/>
      <c r="G161" s="94"/>
      <c r="H161" s="94"/>
      <c r="M161" s="94"/>
      <c r="N161" s="94"/>
      <c r="O161" s="94"/>
      <c r="P161" s="94"/>
      <c r="Q161" s="94"/>
      <c r="R161" s="94"/>
      <c r="S161" s="94"/>
      <c r="T161" s="94"/>
      <c r="U161" s="94"/>
      <c r="V161" s="94"/>
      <c r="W161" s="94"/>
      <c r="X161" s="94"/>
      <c r="Y161" s="94"/>
      <c r="Z161" s="94"/>
      <c r="AA161" s="94"/>
      <c r="AB161" s="94"/>
      <c r="AC161" s="94"/>
      <c r="AD161" s="94"/>
      <c r="AE161" s="94"/>
      <c r="AF161" s="94"/>
      <c r="AG161" s="94"/>
      <c r="AH161" s="94"/>
    </row>
    <row r="162" spans="1:34" ht="18.5" x14ac:dyDescent="0.45">
      <c r="B162" s="95" t="s">
        <v>119</v>
      </c>
      <c r="C162" s="96"/>
      <c r="D162" s="137"/>
      <c r="E162" s="95"/>
      <c r="F162" s="96"/>
      <c r="G162" s="96"/>
      <c r="H162" s="96"/>
      <c r="M162" s="94"/>
      <c r="N162" s="94"/>
      <c r="O162" s="94"/>
      <c r="P162" s="94"/>
      <c r="Q162" s="94"/>
      <c r="R162" s="94"/>
      <c r="S162" s="94"/>
      <c r="T162" s="94"/>
      <c r="U162" s="94"/>
      <c r="V162" s="94"/>
      <c r="W162" s="94"/>
      <c r="X162" s="94"/>
      <c r="Y162" s="94"/>
      <c r="Z162" s="94"/>
      <c r="AA162" s="94"/>
      <c r="AB162" s="94"/>
      <c r="AC162" s="94"/>
      <c r="AD162" s="94"/>
      <c r="AE162" s="94"/>
      <c r="AF162" s="94"/>
      <c r="AG162" s="94"/>
      <c r="AH162" s="94"/>
    </row>
    <row r="163" spans="1:34" ht="15.5" x14ac:dyDescent="0.35">
      <c r="A163" s="2"/>
      <c r="B163" s="97" t="s">
        <v>76</v>
      </c>
      <c r="C163" s="184" t="s">
        <v>48</v>
      </c>
      <c r="D163" s="138" t="s">
        <v>205</v>
      </c>
      <c r="E163" s="98" t="s">
        <v>77</v>
      </c>
      <c r="F163" s="98" t="s">
        <v>78</v>
      </c>
      <c r="G163" s="98" t="s">
        <v>79</v>
      </c>
      <c r="H163" s="98" t="s">
        <v>96</v>
      </c>
      <c r="M163" s="94"/>
      <c r="N163" s="94"/>
      <c r="O163" s="94"/>
      <c r="P163" s="94"/>
      <c r="Q163" s="94"/>
      <c r="R163" s="94"/>
      <c r="S163" s="94"/>
      <c r="T163" s="94"/>
      <c r="U163" s="94"/>
      <c r="V163" s="94"/>
      <c r="W163" s="94"/>
      <c r="X163" s="94"/>
      <c r="Y163" s="94"/>
      <c r="Z163" s="94"/>
      <c r="AA163" s="94"/>
      <c r="AB163" s="94"/>
      <c r="AC163" s="94"/>
      <c r="AD163" s="94"/>
      <c r="AE163" s="94"/>
      <c r="AF163" s="94"/>
      <c r="AG163" s="94"/>
      <c r="AH163" s="94"/>
    </row>
    <row r="164" spans="1:34" x14ac:dyDescent="0.3">
      <c r="A164" s="2"/>
      <c r="B164" s="2"/>
      <c r="C164" s="99"/>
      <c r="D164" s="311" t="s">
        <v>80</v>
      </c>
      <c r="E164" s="312" t="s">
        <v>81</v>
      </c>
      <c r="F164" s="313" t="str">
        <f>+E164</f>
        <v>CONSTRUCCION</v>
      </c>
      <c r="G164" s="313" t="str">
        <f>+F164</f>
        <v>CONSTRUCCION</v>
      </c>
      <c r="H164" s="314" t="s">
        <v>82</v>
      </c>
      <c r="K164" s="54"/>
      <c r="M164" s="94"/>
      <c r="N164" s="94"/>
      <c r="O164" s="94"/>
      <c r="P164" s="94"/>
      <c r="Q164" s="94"/>
      <c r="R164" s="94"/>
      <c r="S164" s="94"/>
      <c r="T164" s="94"/>
      <c r="U164" s="94"/>
      <c r="V164" s="94"/>
      <c r="W164" s="94"/>
      <c r="X164" s="94"/>
      <c r="Y164" s="94"/>
      <c r="Z164" s="94"/>
      <c r="AA164" s="94"/>
      <c r="AB164" s="94"/>
      <c r="AC164" s="94"/>
      <c r="AD164" s="94"/>
      <c r="AE164" s="94"/>
      <c r="AF164" s="94"/>
      <c r="AG164" s="94"/>
      <c r="AH164" s="94"/>
    </row>
    <row r="165" spans="1:34" x14ac:dyDescent="0.3">
      <c r="A165" s="2"/>
      <c r="B165" s="100" t="s">
        <v>51</v>
      </c>
      <c r="C165" s="99"/>
      <c r="D165" s="315"/>
      <c r="E165" s="316">
        <v>0.25</v>
      </c>
      <c r="F165" s="316">
        <v>0.35</v>
      </c>
      <c r="G165" s="316">
        <v>0.3</v>
      </c>
      <c r="H165" s="317">
        <v>0.1</v>
      </c>
      <c r="K165" s="173">
        <f>1-SUM(D165:H165)</f>
        <v>0</v>
      </c>
      <c r="L165" s="94"/>
      <c r="M165" s="94"/>
      <c r="N165" s="94"/>
      <c r="O165" s="94"/>
      <c r="P165" s="94"/>
      <c r="Q165" s="94"/>
      <c r="R165" s="94"/>
      <c r="S165" s="94"/>
      <c r="T165" s="94"/>
      <c r="U165" s="94"/>
      <c r="V165" s="94"/>
      <c r="W165" s="94"/>
      <c r="X165" s="94"/>
      <c r="Y165" s="94"/>
      <c r="Z165" s="94"/>
      <c r="AA165" s="94"/>
      <c r="AB165" s="94"/>
      <c r="AC165" s="94"/>
      <c r="AD165" s="94"/>
      <c r="AE165" s="94"/>
      <c r="AF165" s="94"/>
      <c r="AG165" s="94"/>
      <c r="AH165" s="94"/>
    </row>
    <row r="166" spans="1:34" x14ac:dyDescent="0.3">
      <c r="A166" s="2"/>
      <c r="B166" s="2" t="s">
        <v>52</v>
      </c>
      <c r="C166" s="99"/>
      <c r="D166" s="318">
        <v>0.15</v>
      </c>
      <c r="E166" s="319">
        <v>0.25</v>
      </c>
      <c r="F166" s="319">
        <v>0.25</v>
      </c>
      <c r="G166" s="319">
        <v>0.25</v>
      </c>
      <c r="H166" s="320">
        <v>0.1</v>
      </c>
      <c r="K166" s="54">
        <f>1-SUM(D166:H166)</f>
        <v>0</v>
      </c>
      <c r="L166" s="94"/>
      <c r="M166" s="94"/>
      <c r="N166" s="94"/>
      <c r="O166" s="94"/>
      <c r="P166" s="94"/>
      <c r="Q166" s="94"/>
      <c r="R166" s="94"/>
      <c r="S166" s="94"/>
      <c r="T166" s="94"/>
      <c r="U166" s="94"/>
      <c r="V166" s="94"/>
      <c r="W166" s="94"/>
      <c r="X166" s="94"/>
      <c r="Y166" s="94"/>
      <c r="Z166" s="94"/>
      <c r="AA166" s="94"/>
      <c r="AB166" s="94"/>
      <c r="AC166" s="94"/>
      <c r="AD166" s="94"/>
      <c r="AE166" s="94"/>
      <c r="AF166" s="94"/>
      <c r="AG166" s="94"/>
      <c r="AH166" s="94"/>
    </row>
    <row r="167" spans="1:34" x14ac:dyDescent="0.3">
      <c r="A167" s="2"/>
      <c r="B167" s="2"/>
      <c r="C167" s="99"/>
      <c r="D167" s="124"/>
      <c r="K167" s="173"/>
      <c r="L167" s="94"/>
      <c r="M167" s="94"/>
      <c r="N167" s="94"/>
      <c r="O167" s="94"/>
      <c r="P167" s="94"/>
      <c r="Q167" s="94"/>
      <c r="R167" s="94"/>
      <c r="S167" s="94"/>
      <c r="T167" s="94"/>
      <c r="U167" s="94"/>
      <c r="V167" s="94"/>
      <c r="W167" s="94"/>
      <c r="X167" s="94"/>
      <c r="Y167" s="94"/>
      <c r="Z167" s="94"/>
      <c r="AA167" s="94"/>
      <c r="AB167" s="94"/>
      <c r="AC167" s="94"/>
      <c r="AD167" s="94"/>
      <c r="AE167" s="94"/>
      <c r="AF167" s="94"/>
      <c r="AG167" s="94"/>
      <c r="AH167" s="94"/>
    </row>
    <row r="168" spans="1:34" ht="14.5" x14ac:dyDescent="0.35">
      <c r="A168" s="2"/>
      <c r="B168" s="368" t="s">
        <v>9</v>
      </c>
      <c r="C168" s="373">
        <f>+D52</f>
        <v>150000</v>
      </c>
      <c r="D168" s="374">
        <f>+D52</f>
        <v>150000</v>
      </c>
      <c r="E168" s="375"/>
      <c r="F168" s="375"/>
      <c r="G168" s="375"/>
      <c r="H168" s="376"/>
      <c r="K168" s="173"/>
      <c r="L168" s="94"/>
      <c r="M168" s="94"/>
      <c r="N168" s="94"/>
      <c r="O168" s="94"/>
      <c r="P168" s="94"/>
      <c r="Q168" s="94"/>
      <c r="R168" s="94"/>
      <c r="S168" s="94"/>
      <c r="T168" s="94"/>
      <c r="U168" s="94"/>
      <c r="V168" s="94"/>
      <c r="W168" s="94"/>
      <c r="X168" s="94"/>
      <c r="Y168" s="94"/>
      <c r="Z168" s="94"/>
      <c r="AA168" s="94"/>
      <c r="AB168" s="94"/>
      <c r="AC168" s="94"/>
      <c r="AD168" s="94"/>
      <c r="AE168" s="94"/>
      <c r="AF168" s="94"/>
      <c r="AG168" s="94"/>
      <c r="AH168" s="94"/>
    </row>
    <row r="169" spans="1:34" ht="14.5" x14ac:dyDescent="0.35">
      <c r="A169" s="2"/>
      <c r="B169" s="368" t="s">
        <v>51</v>
      </c>
      <c r="C169" s="377">
        <f>D35</f>
        <v>4071500</v>
      </c>
      <c r="D169" s="374">
        <f>$C169*D$165</f>
        <v>0</v>
      </c>
      <c r="E169" s="374">
        <f>$C169*E$165</f>
        <v>1017875</v>
      </c>
      <c r="F169" s="374">
        <f t="shared" ref="F169:H169" si="4">$C169*F$165</f>
        <v>1425025</v>
      </c>
      <c r="G169" s="374">
        <f t="shared" si="4"/>
        <v>1221450</v>
      </c>
      <c r="H169" s="378">
        <f t="shared" si="4"/>
        <v>407150</v>
      </c>
      <c r="K169" s="90">
        <f t="shared" ref="K169:K176" si="5">C169-SUM(D169:H169)</f>
        <v>0</v>
      </c>
      <c r="L169" s="94"/>
      <c r="M169" s="94"/>
      <c r="N169" s="94"/>
      <c r="O169" s="94"/>
      <c r="P169" s="94"/>
      <c r="Q169" s="94"/>
      <c r="R169" s="94"/>
      <c r="S169" s="94"/>
      <c r="T169" s="94"/>
      <c r="U169" s="94"/>
      <c r="V169" s="94"/>
      <c r="W169" s="94"/>
      <c r="X169" s="94"/>
      <c r="Y169" s="94"/>
      <c r="Z169" s="94"/>
      <c r="AA169" s="94"/>
      <c r="AB169" s="94"/>
      <c r="AC169" s="94"/>
      <c r="AD169" s="94"/>
      <c r="AE169" s="94"/>
      <c r="AF169" s="94"/>
      <c r="AG169" s="94"/>
      <c r="AH169" s="94"/>
    </row>
    <row r="170" spans="1:34" ht="14.5" x14ac:dyDescent="0.35">
      <c r="A170" s="33"/>
      <c r="B170" s="368" t="str">
        <f t="shared" ref="B170:B182" si="6">+B36</f>
        <v>Costos Blandos: de obra proyecto direccion y gerenciamiento, asesores, desarrollo</v>
      </c>
      <c r="C170" s="377"/>
      <c r="D170" s="374">
        <f t="shared" ref="D170:E175" si="7">$C170*D$165</f>
        <v>0</v>
      </c>
      <c r="E170" s="374">
        <f t="shared" si="7"/>
        <v>0</v>
      </c>
      <c r="F170" s="374">
        <f>$C170*F$165</f>
        <v>0</v>
      </c>
      <c r="G170" s="374">
        <f>$C170*G$165</f>
        <v>0</v>
      </c>
      <c r="H170" s="378">
        <f>$C170*H$165</f>
        <v>0</v>
      </c>
      <c r="K170" s="90">
        <f t="shared" si="5"/>
        <v>0</v>
      </c>
      <c r="L170" s="94"/>
      <c r="M170" s="94"/>
      <c r="N170" s="94"/>
      <c r="O170" s="94"/>
      <c r="P170" s="94"/>
      <c r="Q170" s="94"/>
      <c r="R170" s="94"/>
      <c r="S170" s="94"/>
      <c r="T170" s="94"/>
      <c r="U170" s="94"/>
      <c r="V170" s="94"/>
      <c r="W170" s="94"/>
      <c r="X170" s="94"/>
      <c r="Y170" s="94"/>
      <c r="Z170" s="94"/>
      <c r="AA170" s="94"/>
      <c r="AB170" s="94"/>
      <c r="AC170" s="94"/>
      <c r="AD170" s="94"/>
      <c r="AE170" s="94"/>
      <c r="AF170" s="94"/>
      <c r="AG170" s="94"/>
      <c r="AH170" s="94"/>
    </row>
    <row r="171" spans="1:34" x14ac:dyDescent="0.3">
      <c r="A171" s="33"/>
      <c r="B171" s="369" t="str">
        <f t="shared" si="6"/>
        <v>Proyecto</v>
      </c>
      <c r="C171" s="379">
        <f t="shared" ref="C171:C176" si="8">D37</f>
        <v>122145</v>
      </c>
      <c r="D171" s="380">
        <f>$C171*D$166</f>
        <v>18321.75</v>
      </c>
      <c r="E171" s="380">
        <f>$C171*E$166</f>
        <v>30536.25</v>
      </c>
      <c r="F171" s="380">
        <f>$C171*F$166</f>
        <v>30536.25</v>
      </c>
      <c r="G171" s="380">
        <f>$C171*G$166</f>
        <v>30536.25</v>
      </c>
      <c r="H171" s="381">
        <f>$C171*H$166</f>
        <v>12214.5</v>
      </c>
      <c r="K171" s="90">
        <f t="shared" si="5"/>
        <v>0</v>
      </c>
      <c r="L171" s="94"/>
      <c r="M171" s="94"/>
      <c r="N171" s="94"/>
      <c r="O171" s="94"/>
      <c r="P171" s="94"/>
      <c r="Q171" s="94"/>
      <c r="R171" s="94"/>
      <c r="S171" s="94"/>
      <c r="T171" s="94"/>
      <c r="U171" s="94"/>
      <c r="V171" s="94"/>
      <c r="W171" s="94"/>
      <c r="X171" s="94"/>
      <c r="Y171" s="94"/>
      <c r="Z171" s="94"/>
      <c r="AA171" s="94"/>
      <c r="AB171" s="94"/>
      <c r="AC171" s="94"/>
      <c r="AD171" s="94"/>
      <c r="AE171" s="94"/>
      <c r="AF171" s="94"/>
      <c r="AG171" s="94"/>
      <c r="AH171" s="94"/>
    </row>
    <row r="172" spans="1:34" x14ac:dyDescent="0.3">
      <c r="A172" s="33"/>
      <c r="B172" s="369" t="str">
        <f t="shared" si="6"/>
        <v>Dirección</v>
      </c>
      <c r="C172" s="379">
        <f t="shared" si="8"/>
        <v>122145</v>
      </c>
      <c r="D172" s="380">
        <f t="shared" ref="D172:D173" si="9">$C172*D$166</f>
        <v>18321.75</v>
      </c>
      <c r="E172" s="380">
        <f t="shared" ref="E172:H173" si="10">$C172*E$166</f>
        <v>30536.25</v>
      </c>
      <c r="F172" s="380">
        <f t="shared" si="10"/>
        <v>30536.25</v>
      </c>
      <c r="G172" s="380">
        <f t="shared" si="10"/>
        <v>30536.25</v>
      </c>
      <c r="H172" s="381">
        <f t="shared" si="10"/>
        <v>12214.5</v>
      </c>
      <c r="K172" s="90">
        <f t="shared" si="5"/>
        <v>0</v>
      </c>
      <c r="L172" s="94"/>
      <c r="M172" s="94"/>
      <c r="N172" s="94"/>
      <c r="O172" s="94"/>
      <c r="P172" s="94"/>
      <c r="Q172" s="94"/>
      <c r="R172" s="94"/>
      <c r="S172" s="94"/>
      <c r="T172" s="94"/>
      <c r="U172" s="94"/>
      <c r="V172" s="94"/>
      <c r="W172" s="94"/>
      <c r="X172" s="94"/>
      <c r="Y172" s="94"/>
      <c r="Z172" s="94"/>
      <c r="AA172" s="94"/>
      <c r="AB172" s="94"/>
      <c r="AC172" s="94"/>
      <c r="AD172" s="94"/>
      <c r="AE172" s="94"/>
      <c r="AF172" s="94"/>
      <c r="AG172" s="94"/>
      <c r="AH172" s="94"/>
    </row>
    <row r="173" spans="1:34" x14ac:dyDescent="0.3">
      <c r="A173" s="33"/>
      <c r="B173" s="369" t="str">
        <f t="shared" si="6"/>
        <v>Gerenciamiento</v>
      </c>
      <c r="C173" s="379">
        <f t="shared" si="8"/>
        <v>81430</v>
      </c>
      <c r="D173" s="380">
        <f t="shared" si="9"/>
        <v>12214.5</v>
      </c>
      <c r="E173" s="380">
        <f t="shared" si="10"/>
        <v>20357.5</v>
      </c>
      <c r="F173" s="380">
        <f t="shared" si="10"/>
        <v>20357.5</v>
      </c>
      <c r="G173" s="380">
        <f t="shared" si="10"/>
        <v>20357.5</v>
      </c>
      <c r="H173" s="381">
        <f t="shared" si="10"/>
        <v>8143</v>
      </c>
      <c r="K173" s="90">
        <f t="shared" si="5"/>
        <v>0</v>
      </c>
      <c r="L173" s="94"/>
      <c r="M173" s="94"/>
      <c r="N173" s="94"/>
      <c r="O173" s="94"/>
      <c r="P173" s="94"/>
      <c r="Q173" s="94"/>
      <c r="R173" s="94"/>
      <c r="S173" s="94"/>
      <c r="T173" s="94"/>
      <c r="U173" s="94"/>
      <c r="V173" s="94"/>
      <c r="W173" s="94"/>
      <c r="X173" s="94"/>
      <c r="Y173" s="94"/>
      <c r="Z173" s="94"/>
      <c r="AA173" s="94"/>
      <c r="AB173" s="94"/>
      <c r="AC173" s="94"/>
      <c r="AD173" s="94"/>
      <c r="AE173" s="94"/>
      <c r="AF173" s="94"/>
      <c r="AG173" s="94"/>
      <c r="AH173" s="94"/>
    </row>
    <row r="174" spans="1:34" x14ac:dyDescent="0.3">
      <c r="A174" s="33"/>
      <c r="B174" s="369" t="str">
        <f t="shared" si="6"/>
        <v>Asesores</v>
      </c>
      <c r="C174" s="379">
        <f t="shared" si="8"/>
        <v>61072.5</v>
      </c>
      <c r="D174" s="380">
        <f>+C174*0.7</f>
        <v>42750.75</v>
      </c>
      <c r="E174" s="380">
        <f>+C174*0.05</f>
        <v>3053.625</v>
      </c>
      <c r="F174" s="380">
        <f>+E174</f>
        <v>3053.625</v>
      </c>
      <c r="G174" s="380">
        <f>+F174</f>
        <v>3053.625</v>
      </c>
      <c r="H174" s="381">
        <f>+C174-D174-E174-F174-G174</f>
        <v>9160.875</v>
      </c>
      <c r="K174" s="90">
        <f t="shared" si="5"/>
        <v>0</v>
      </c>
      <c r="L174" s="94"/>
      <c r="M174" s="94"/>
      <c r="N174" s="94"/>
      <c r="O174" s="94"/>
      <c r="P174" s="94"/>
      <c r="Q174" s="94"/>
      <c r="R174" s="94"/>
      <c r="S174" s="94"/>
      <c r="T174" s="94"/>
      <c r="U174" s="94"/>
      <c r="V174" s="94"/>
      <c r="W174" s="94"/>
      <c r="X174" s="94"/>
      <c r="Y174" s="94"/>
      <c r="Z174" s="94"/>
      <c r="AA174" s="94"/>
      <c r="AB174" s="94"/>
      <c r="AC174" s="94"/>
      <c r="AD174" s="94"/>
      <c r="AE174" s="94"/>
      <c r="AF174" s="94"/>
      <c r="AG174" s="94"/>
      <c r="AH174" s="94"/>
    </row>
    <row r="175" spans="1:34" x14ac:dyDescent="0.3">
      <c r="A175" s="33"/>
      <c r="B175" s="369" t="str">
        <f t="shared" si="6"/>
        <v>Administracion</v>
      </c>
      <c r="C175" s="379">
        <f t="shared" si="8"/>
        <v>66874.387499999997</v>
      </c>
      <c r="D175" s="380">
        <f t="shared" si="7"/>
        <v>0</v>
      </c>
      <c r="E175" s="380">
        <f t="shared" si="7"/>
        <v>16718.596874999999</v>
      </c>
      <c r="F175" s="380">
        <f>$C175*F$165</f>
        <v>23406.035624999997</v>
      </c>
      <c r="G175" s="380">
        <f>$C175*G$165</f>
        <v>20062.31625</v>
      </c>
      <c r="H175" s="381">
        <f>$C175*H$165</f>
        <v>6687.4387500000003</v>
      </c>
      <c r="K175" s="90">
        <f t="shared" si="5"/>
        <v>0</v>
      </c>
      <c r="L175" s="94"/>
      <c r="M175" s="94"/>
      <c r="N175" s="94"/>
      <c r="O175" s="94"/>
      <c r="P175" s="94"/>
      <c r="Q175" s="94"/>
      <c r="R175" s="94"/>
      <c r="S175" s="94"/>
      <c r="T175" s="94"/>
      <c r="U175" s="94"/>
      <c r="V175" s="94"/>
      <c r="W175" s="94"/>
      <c r="X175" s="94"/>
      <c r="Y175" s="94"/>
      <c r="Z175" s="94"/>
      <c r="AA175" s="94"/>
      <c r="AB175" s="94"/>
      <c r="AC175" s="94"/>
      <c r="AD175" s="94"/>
      <c r="AE175" s="94"/>
      <c r="AF175" s="94"/>
      <c r="AG175" s="94"/>
      <c r="AH175" s="94"/>
    </row>
    <row r="176" spans="1:34" x14ac:dyDescent="0.3">
      <c r="A176" s="33"/>
      <c r="B176" s="369" t="str">
        <f t="shared" si="6"/>
        <v>Desarrollo</v>
      </c>
      <c r="C176" s="379">
        <f t="shared" si="8"/>
        <v>181006.67550000001</v>
      </c>
      <c r="D176" s="380">
        <f>$C176*D$166</f>
        <v>27151.001325000001</v>
      </c>
      <c r="E176" s="380">
        <f>$C176*E$166</f>
        <v>45251.668875000003</v>
      </c>
      <c r="F176" s="380">
        <f>$C176*F$166</f>
        <v>45251.668875000003</v>
      </c>
      <c r="G176" s="380">
        <f>$C176*G$166</f>
        <v>45251.668875000003</v>
      </c>
      <c r="H176" s="381">
        <f>$C176*H$166</f>
        <v>18100.667550000002</v>
      </c>
      <c r="K176" s="90">
        <f t="shared" si="5"/>
        <v>0</v>
      </c>
      <c r="L176" s="94"/>
      <c r="M176" s="94"/>
      <c r="N176" s="94"/>
      <c r="O176" s="94"/>
      <c r="P176" s="94"/>
      <c r="Q176" s="94"/>
      <c r="R176" s="94"/>
      <c r="S176" s="94"/>
      <c r="T176" s="94"/>
      <c r="U176" s="94"/>
      <c r="V176" s="94"/>
      <c r="W176" s="94"/>
      <c r="X176" s="94"/>
      <c r="Y176" s="94"/>
      <c r="Z176" s="94"/>
      <c r="AA176" s="94"/>
      <c r="AB176" s="94"/>
      <c r="AC176" s="94"/>
      <c r="AD176" s="94"/>
      <c r="AE176" s="94"/>
      <c r="AF176" s="94"/>
      <c r="AG176" s="94"/>
      <c r="AH176" s="94"/>
    </row>
    <row r="177" spans="1:34" ht="14.5" x14ac:dyDescent="0.35">
      <c r="A177" s="33"/>
      <c r="B177" s="368" t="str">
        <f t="shared" si="6"/>
        <v>Costos Indirectos</v>
      </c>
      <c r="C177" s="377"/>
      <c r="D177" s="374"/>
      <c r="E177" s="374"/>
      <c r="F177" s="374"/>
      <c r="G177" s="374"/>
      <c r="H177" s="378"/>
      <c r="K177" s="90"/>
      <c r="L177" s="94"/>
      <c r="M177" s="94"/>
      <c r="N177" s="94"/>
      <c r="O177" s="94"/>
      <c r="P177" s="94"/>
      <c r="Q177" s="94"/>
      <c r="R177" s="94"/>
      <c r="S177" s="94"/>
      <c r="T177" s="94"/>
      <c r="U177" s="94"/>
      <c r="V177" s="94"/>
      <c r="W177" s="94"/>
      <c r="X177" s="94"/>
      <c r="Y177" s="94"/>
      <c r="Z177" s="94"/>
      <c r="AA177" s="94"/>
      <c r="AB177" s="94"/>
      <c r="AC177" s="94"/>
      <c r="AD177" s="94"/>
      <c r="AE177" s="94"/>
      <c r="AF177" s="94"/>
      <c r="AG177" s="94"/>
      <c r="AH177" s="94"/>
    </row>
    <row r="178" spans="1:34" x14ac:dyDescent="0.3">
      <c r="A178" s="33"/>
      <c r="B178" s="369" t="str">
        <f t="shared" si="6"/>
        <v>comision inmobiliaria por compra de la tierra</v>
      </c>
      <c r="C178" s="379">
        <f>+D44</f>
        <v>60684.5</v>
      </c>
      <c r="D178" s="380">
        <f>+C178</f>
        <v>60684.5</v>
      </c>
      <c r="E178" s="380"/>
      <c r="F178" s="380"/>
      <c r="G178" s="380"/>
      <c r="H178" s="381"/>
      <c r="K178" s="90"/>
      <c r="L178" s="94"/>
      <c r="M178" s="94"/>
      <c r="N178" s="94"/>
      <c r="O178" s="94"/>
      <c r="P178" s="94"/>
      <c r="Q178" s="94"/>
      <c r="R178" s="94"/>
      <c r="S178" s="94"/>
      <c r="T178" s="94"/>
      <c r="U178" s="94"/>
      <c r="V178" s="94"/>
      <c r="W178" s="94"/>
      <c r="X178" s="94"/>
      <c r="Y178" s="94"/>
      <c r="Z178" s="94"/>
      <c r="AA178" s="94"/>
      <c r="AB178" s="94"/>
      <c r="AC178" s="94"/>
      <c r="AD178" s="94"/>
      <c r="AE178" s="94"/>
      <c r="AF178" s="94"/>
      <c r="AG178" s="94"/>
      <c r="AH178" s="94"/>
    </row>
    <row r="179" spans="1:34" x14ac:dyDescent="0.3">
      <c r="A179" s="33"/>
      <c r="B179" s="369" t="str">
        <f t="shared" si="6"/>
        <v>escrituracion / conformacio SA, est</v>
      </c>
      <c r="C179" s="379">
        <f>+D45</f>
        <v>15000</v>
      </c>
      <c r="D179" s="380">
        <f t="shared" ref="D179:D181" si="11">+C179</f>
        <v>15000</v>
      </c>
      <c r="E179" s="380"/>
      <c r="F179" s="380"/>
      <c r="G179" s="380"/>
      <c r="H179" s="381"/>
      <c r="K179" s="90"/>
      <c r="L179" s="94"/>
      <c r="M179" s="94"/>
      <c r="N179" s="94"/>
      <c r="O179" s="94"/>
      <c r="P179" s="94"/>
      <c r="Q179" s="94"/>
      <c r="R179" s="94"/>
      <c r="S179" s="94"/>
      <c r="T179" s="94"/>
      <c r="U179" s="94"/>
      <c r="V179" s="94"/>
      <c r="W179" s="94"/>
      <c r="X179" s="94"/>
      <c r="Y179" s="94"/>
      <c r="Z179" s="94"/>
      <c r="AA179" s="94"/>
      <c r="AB179" s="94"/>
      <c r="AC179" s="94"/>
      <c r="AD179" s="94"/>
      <c r="AE179" s="94"/>
      <c r="AF179" s="94"/>
      <c r="AG179" s="94"/>
      <c r="AH179" s="94"/>
    </row>
    <row r="180" spans="1:34" x14ac:dyDescent="0.3">
      <c r="A180" s="33"/>
      <c r="B180" s="369" t="str">
        <f t="shared" si="6"/>
        <v>Plusvalia por el terreno</v>
      </c>
      <c r="C180" s="379">
        <f>+D46</f>
        <v>125000</v>
      </c>
      <c r="D180" s="380">
        <f t="shared" si="11"/>
        <v>125000</v>
      </c>
      <c r="E180" s="380"/>
      <c r="F180" s="380"/>
      <c r="G180" s="380"/>
      <c r="H180" s="381"/>
      <c r="K180" s="90"/>
      <c r="L180" s="94"/>
      <c r="M180" s="94"/>
      <c r="N180" s="94"/>
      <c r="O180" s="94"/>
      <c r="P180" s="94"/>
      <c r="Q180" s="94"/>
      <c r="R180" s="94"/>
      <c r="S180" s="94"/>
      <c r="T180" s="94"/>
      <c r="U180" s="94"/>
      <c r="V180" s="94"/>
      <c r="W180" s="94"/>
      <c r="X180" s="94"/>
      <c r="Y180" s="94"/>
      <c r="Z180" s="94"/>
      <c r="AA180" s="94"/>
      <c r="AB180" s="94"/>
      <c r="AC180" s="94"/>
      <c r="AD180" s="94"/>
      <c r="AE180" s="94"/>
      <c r="AF180" s="94"/>
      <c r="AG180" s="94"/>
      <c r="AH180" s="94"/>
    </row>
    <row r="181" spans="1:34" x14ac:dyDescent="0.3">
      <c r="A181" s="33"/>
      <c r="B181" s="369" t="str">
        <f t="shared" si="6"/>
        <v>Derechos de construcción                                                   U$S/m2</v>
      </c>
      <c r="C181" s="379">
        <f>+D47</f>
        <v>60940</v>
      </c>
      <c r="D181" s="380">
        <f t="shared" si="11"/>
        <v>60940</v>
      </c>
      <c r="E181" s="380"/>
      <c r="F181" s="380"/>
      <c r="G181" s="380"/>
      <c r="H181" s="381"/>
      <c r="K181" s="90"/>
      <c r="L181" s="94"/>
      <c r="M181" s="94"/>
      <c r="N181" s="94"/>
      <c r="O181" s="94"/>
      <c r="P181" s="94"/>
      <c r="Q181" s="94"/>
      <c r="R181" s="94"/>
      <c r="S181" s="94"/>
      <c r="T181" s="94"/>
      <c r="U181" s="94"/>
      <c r="V181" s="94"/>
      <c r="W181" s="94"/>
      <c r="X181" s="94"/>
      <c r="Y181" s="94"/>
      <c r="Z181" s="94"/>
      <c r="AA181" s="94"/>
      <c r="AB181" s="94"/>
      <c r="AC181" s="94"/>
      <c r="AD181" s="94"/>
      <c r="AE181" s="94"/>
      <c r="AF181" s="94"/>
      <c r="AG181" s="94"/>
      <c r="AH181" s="94"/>
    </row>
    <row r="182" spans="1:34" x14ac:dyDescent="0.3">
      <c r="A182" s="33"/>
      <c r="B182" s="369" t="str">
        <f t="shared" si="6"/>
        <v>Marketing y promocion</v>
      </c>
      <c r="C182" s="379">
        <f>+D48</f>
        <v>70592.603445000001</v>
      </c>
      <c r="D182" s="380">
        <f>+C182/5</f>
        <v>14118.520689000001</v>
      </c>
      <c r="E182" s="380">
        <f>+D182</f>
        <v>14118.520689000001</v>
      </c>
      <c r="F182" s="380">
        <f>+E182</f>
        <v>14118.520689000001</v>
      </c>
      <c r="G182" s="380">
        <f t="shared" ref="G182:H182" si="12">+F182</f>
        <v>14118.520689000001</v>
      </c>
      <c r="H182" s="381">
        <f t="shared" si="12"/>
        <v>14118.520689000001</v>
      </c>
      <c r="K182" s="90"/>
      <c r="L182" s="94"/>
      <c r="M182" s="94"/>
      <c r="N182" s="94"/>
      <c r="O182" s="94"/>
      <c r="P182" s="94"/>
      <c r="Q182" s="94"/>
      <c r="R182" s="94"/>
      <c r="S182" s="94"/>
      <c r="T182" s="94"/>
      <c r="U182" s="94"/>
      <c r="V182" s="94"/>
      <c r="W182" s="94"/>
      <c r="X182" s="94"/>
      <c r="Y182" s="94"/>
      <c r="Z182" s="94"/>
      <c r="AA182" s="94"/>
      <c r="AB182" s="94"/>
      <c r="AC182" s="94"/>
      <c r="AD182" s="94"/>
      <c r="AE182" s="94"/>
      <c r="AF182" s="94"/>
      <c r="AG182" s="94"/>
      <c r="AH182" s="94"/>
    </row>
    <row r="183" spans="1:34" x14ac:dyDescent="0.3">
      <c r="A183" s="33"/>
      <c r="B183" s="370" t="str">
        <f>+B50</f>
        <v>IVA promedio</v>
      </c>
      <c r="C183" s="379">
        <f>+D50</f>
        <v>604606.87997340003</v>
      </c>
      <c r="D183" s="380">
        <f>SUM(D169:D182)*$B$184</f>
        <v>47340.332641680012</v>
      </c>
      <c r="E183" s="380">
        <f>SUM(E169:E182)*$B$184</f>
        <v>141413.68937268</v>
      </c>
      <c r="F183" s="380">
        <f>SUM(F169:F182)*$B$184</f>
        <v>191074.18202268</v>
      </c>
      <c r="G183" s="380">
        <f>SUM(G169:G182)*$B$184</f>
        <v>166243.93569767999</v>
      </c>
      <c r="H183" s="381">
        <f>SUM(H169:H182)*$B$184</f>
        <v>58534.740238680009</v>
      </c>
      <c r="K183" s="90">
        <f>C183-SUM(D183:H183)</f>
        <v>0</v>
      </c>
      <c r="L183" s="94"/>
      <c r="M183" s="94"/>
      <c r="N183" s="94"/>
      <c r="O183" s="94"/>
      <c r="P183" s="94"/>
      <c r="Q183" s="94"/>
      <c r="R183" s="94"/>
      <c r="S183" s="94"/>
      <c r="T183" s="94"/>
      <c r="U183" s="94"/>
      <c r="V183" s="94"/>
      <c r="W183" s="94"/>
      <c r="X183" s="94"/>
      <c r="Y183" s="94"/>
      <c r="Z183" s="94"/>
      <c r="AA183" s="94"/>
      <c r="AB183" s="94"/>
      <c r="AC183" s="94"/>
      <c r="AD183" s="94"/>
      <c r="AE183" s="94"/>
      <c r="AF183" s="94"/>
      <c r="AG183" s="94"/>
      <c r="AH183" s="94"/>
    </row>
    <row r="184" spans="1:34" x14ac:dyDescent="0.3">
      <c r="A184" s="33"/>
      <c r="B184" s="371">
        <f>C183/SUM(C169:C182)</f>
        <v>0.12000000000000001</v>
      </c>
      <c r="C184" s="379"/>
      <c r="D184" s="380"/>
      <c r="E184" s="382"/>
      <c r="F184" s="382"/>
      <c r="G184" s="382"/>
      <c r="H184" s="383"/>
      <c r="K184" s="90">
        <f>C184-SUM(D184:H184)</f>
        <v>0</v>
      </c>
      <c r="L184" s="94"/>
      <c r="M184" s="94"/>
      <c r="N184" s="94"/>
      <c r="O184" s="94"/>
      <c r="P184" s="94"/>
      <c r="Q184" s="94"/>
      <c r="R184" s="94"/>
      <c r="S184" s="94"/>
      <c r="T184" s="94"/>
      <c r="U184" s="94"/>
      <c r="V184" s="94"/>
      <c r="W184" s="94"/>
      <c r="X184" s="94"/>
      <c r="Y184" s="94"/>
      <c r="Z184" s="94"/>
      <c r="AA184" s="94"/>
      <c r="AB184" s="94"/>
      <c r="AC184" s="94"/>
      <c r="AD184" s="94"/>
      <c r="AE184" s="94"/>
      <c r="AF184" s="94"/>
      <c r="AG184" s="94"/>
      <c r="AH184" s="94"/>
    </row>
    <row r="185" spans="1:34" ht="18.5" x14ac:dyDescent="0.3">
      <c r="A185" s="33"/>
      <c r="B185" s="372" t="str">
        <f>+B163</f>
        <v>EGRESOS</v>
      </c>
      <c r="C185" s="384">
        <f>SUM(C168:C184)</f>
        <v>5792997.5464184005</v>
      </c>
      <c r="D185" s="385">
        <f>SUM(D168:D183)</f>
        <v>591843.10465568013</v>
      </c>
      <c r="E185" s="385">
        <f>SUM(E168:E183)</f>
        <v>1319861.1008116798</v>
      </c>
      <c r="F185" s="385">
        <f>SUM(F168:F183)</f>
        <v>1783359.03221168</v>
      </c>
      <c r="G185" s="385">
        <f>SUM(G168:G183)</f>
        <v>1551610.0665116799</v>
      </c>
      <c r="H185" s="386">
        <f>SUM(H168:H183)</f>
        <v>546324.24222768005</v>
      </c>
      <c r="K185" s="90">
        <f>C185-SUM(D185:H185)</f>
        <v>0</v>
      </c>
      <c r="L185" s="94"/>
      <c r="M185" s="94"/>
      <c r="N185" s="94"/>
      <c r="O185" s="94"/>
      <c r="P185" s="94"/>
      <c r="Q185" s="94"/>
      <c r="R185" s="94"/>
      <c r="S185" s="94"/>
      <c r="T185" s="94"/>
      <c r="U185" s="94"/>
      <c r="V185" s="94"/>
      <c r="W185" s="94"/>
      <c r="X185" s="94"/>
      <c r="Y185" s="94"/>
      <c r="Z185" s="94"/>
      <c r="AA185" s="94"/>
      <c r="AB185" s="94"/>
      <c r="AC185" s="94"/>
      <c r="AD185" s="94"/>
      <c r="AE185" s="94"/>
      <c r="AF185" s="94"/>
      <c r="AG185" s="94"/>
      <c r="AH185" s="94"/>
    </row>
    <row r="186" spans="1:34" x14ac:dyDescent="0.3">
      <c r="B186" s="58"/>
      <c r="D186" s="102">
        <f>+D185/$C$185</f>
        <v>0.10216526071577489</v>
      </c>
      <c r="E186" s="102">
        <f>+E185/$C$185</f>
        <v>0.22783733123237759</v>
      </c>
      <c r="F186" s="102">
        <f>+F185/$C$185</f>
        <v>0.30784736536169705</v>
      </c>
      <c r="G186" s="102">
        <f>+G185/$C$185</f>
        <v>0.26784234829703735</v>
      </c>
      <c r="H186" s="102">
        <f>+H185/$C$185</f>
        <v>9.4307694393113012E-2</v>
      </c>
      <c r="K186" s="90">
        <f>1-SUM(D186:H186)</f>
        <v>0</v>
      </c>
      <c r="L186" s="94"/>
      <c r="M186" s="94"/>
      <c r="N186" s="94"/>
      <c r="O186" s="94"/>
      <c r="P186" s="94"/>
      <c r="Q186" s="94"/>
      <c r="R186" s="94"/>
      <c r="S186" s="94"/>
      <c r="T186" s="94"/>
      <c r="U186" s="94"/>
      <c r="V186" s="94"/>
      <c r="W186" s="94"/>
      <c r="X186" s="94"/>
      <c r="Y186" s="94"/>
      <c r="Z186" s="94"/>
      <c r="AA186" s="94"/>
      <c r="AB186" s="94"/>
      <c r="AC186" s="94"/>
      <c r="AD186" s="94"/>
      <c r="AE186" s="94"/>
      <c r="AF186" s="94"/>
      <c r="AG186" s="94"/>
      <c r="AH186" s="94"/>
    </row>
    <row r="187" spans="1:34" x14ac:dyDescent="0.3">
      <c r="B187" s="2"/>
      <c r="D187" s="124"/>
      <c r="I187" s="94"/>
      <c r="J187" s="94"/>
      <c r="K187" s="94"/>
      <c r="L187" s="94"/>
      <c r="M187" s="94"/>
      <c r="N187" s="94"/>
      <c r="O187" s="94"/>
      <c r="P187" s="94"/>
      <c r="Q187" s="94"/>
      <c r="R187" s="94"/>
      <c r="S187" s="94"/>
      <c r="T187" s="94"/>
      <c r="U187" s="94"/>
      <c r="V187" s="94"/>
      <c r="W187" s="94"/>
      <c r="X187" s="94"/>
      <c r="Y187" s="94"/>
      <c r="Z187" s="94"/>
      <c r="AA187" s="94"/>
      <c r="AB187" s="94"/>
      <c r="AC187" s="94"/>
      <c r="AD187" s="94"/>
      <c r="AE187" s="94"/>
      <c r="AF187" s="94"/>
      <c r="AG187" s="94"/>
      <c r="AH187" s="94"/>
    </row>
    <row r="188" spans="1:34" x14ac:dyDescent="0.3">
      <c r="B188" s="58"/>
      <c r="C188" s="58"/>
      <c r="E188" s="94"/>
      <c r="F188" s="94"/>
      <c r="G188" s="94"/>
      <c r="H188" s="94"/>
      <c r="I188" s="94"/>
      <c r="J188" s="94"/>
      <c r="K188" s="94"/>
      <c r="L188" s="94"/>
      <c r="M188" s="94"/>
      <c r="N188" s="94"/>
      <c r="O188" s="94"/>
      <c r="P188" s="94"/>
      <c r="Q188" s="94"/>
      <c r="R188" s="94"/>
      <c r="S188" s="94"/>
      <c r="T188" s="94"/>
      <c r="U188" s="94"/>
      <c r="V188" s="94"/>
      <c r="W188" s="94"/>
      <c r="X188" s="94"/>
      <c r="Y188" s="94"/>
      <c r="Z188" s="94"/>
      <c r="AA188" s="94"/>
      <c r="AB188" s="94"/>
      <c r="AC188" s="94"/>
      <c r="AD188" s="94"/>
      <c r="AE188" s="94"/>
      <c r="AF188" s="94"/>
      <c r="AG188" s="94"/>
      <c r="AH188" s="94"/>
    </row>
    <row r="189" spans="1:34" ht="15.5" x14ac:dyDescent="0.35">
      <c r="B189" s="97" t="s">
        <v>83</v>
      </c>
      <c r="C189" s="98" t="str">
        <f t="shared" ref="C189:H189" si="13">+C163</f>
        <v>TOTALES</v>
      </c>
      <c r="D189" s="138" t="str">
        <f t="shared" si="13"/>
        <v>Año 1 Preconstruccion</v>
      </c>
      <c r="E189" s="138" t="str">
        <f t="shared" si="13"/>
        <v>AÑO 2</v>
      </c>
      <c r="F189" s="138" t="str">
        <f t="shared" si="13"/>
        <v>AÑO 3</v>
      </c>
      <c r="G189" s="138" t="str">
        <f t="shared" si="13"/>
        <v>AÑO 4</v>
      </c>
      <c r="H189" s="138" t="str">
        <f t="shared" si="13"/>
        <v>AÑO 5</v>
      </c>
      <c r="I189" s="138" t="s">
        <v>206</v>
      </c>
      <c r="J189" s="94"/>
      <c r="K189" s="94"/>
      <c r="L189" s="94"/>
      <c r="M189" s="94"/>
      <c r="N189" s="94"/>
      <c r="O189" s="94"/>
      <c r="P189" s="94"/>
      <c r="Q189" s="94"/>
      <c r="R189" s="94"/>
      <c r="S189" s="94"/>
      <c r="T189" s="94"/>
      <c r="U189" s="94"/>
      <c r="V189" s="94"/>
      <c r="W189" s="94"/>
      <c r="X189" s="94"/>
      <c r="Y189" s="94"/>
      <c r="Z189" s="94"/>
      <c r="AA189" s="94"/>
      <c r="AB189" s="94"/>
      <c r="AC189" s="94"/>
      <c r="AD189" s="94"/>
      <c r="AE189" s="94"/>
      <c r="AF189" s="94"/>
      <c r="AG189" s="94"/>
      <c r="AH189" s="94"/>
    </row>
    <row r="190" spans="1:34" x14ac:dyDescent="0.3">
      <c r="B190" s="54" t="s">
        <v>73</v>
      </c>
      <c r="C190" s="108">
        <f>+I137+J137</f>
        <v>1861088.8125</v>
      </c>
      <c r="D190" s="139">
        <f>+C190*0.3</f>
        <v>558326.64374999993</v>
      </c>
      <c r="E190" s="139">
        <f>+(C190-D190)/4</f>
        <v>325690.54218750005</v>
      </c>
      <c r="F190" s="139">
        <f>+E190</f>
        <v>325690.54218750005</v>
      </c>
      <c r="G190" s="139">
        <f>+F190</f>
        <v>325690.54218750005</v>
      </c>
      <c r="H190" s="139">
        <f>+G190</f>
        <v>325690.54218750005</v>
      </c>
      <c r="I190" s="139">
        <f>+J137</f>
        <v>0</v>
      </c>
      <c r="J190" s="94"/>
      <c r="K190" s="94">
        <f>C190-SUM(D190:I190)</f>
        <v>0</v>
      </c>
      <c r="L190" s="94"/>
      <c r="M190" s="94"/>
      <c r="N190" s="94"/>
      <c r="O190" s="94"/>
      <c r="P190" s="94"/>
      <c r="Q190" s="94"/>
      <c r="R190" s="94"/>
      <c r="S190" s="94"/>
      <c r="T190" s="94"/>
      <c r="U190" s="94"/>
      <c r="V190" s="94"/>
      <c r="W190" s="94"/>
      <c r="X190" s="94"/>
      <c r="Y190" s="94"/>
      <c r="Z190" s="94"/>
      <c r="AA190" s="94"/>
      <c r="AB190" s="94"/>
      <c r="AC190" s="94"/>
      <c r="AD190" s="94"/>
      <c r="AE190" s="94"/>
      <c r="AF190" s="94"/>
      <c r="AG190" s="94"/>
      <c r="AH190" s="94"/>
    </row>
    <row r="191" spans="1:34" x14ac:dyDescent="0.3">
      <c r="B191" s="54" t="s">
        <v>45</v>
      </c>
      <c r="C191" s="108">
        <f>+I138+J138</f>
        <v>2416316.25</v>
      </c>
      <c r="D191" s="139"/>
      <c r="E191" s="139">
        <f>+C191/5</f>
        <v>483263.25</v>
      </c>
      <c r="F191" s="139">
        <f>+E191</f>
        <v>483263.25</v>
      </c>
      <c r="G191" s="139">
        <f>+(C191-E191-F191-I191)/2</f>
        <v>422855.34375</v>
      </c>
      <c r="H191" s="139">
        <f>+C191-E191-F191-G191-I191</f>
        <v>422855.34375</v>
      </c>
      <c r="I191" s="139">
        <f>+J138</f>
        <v>604079.0625</v>
      </c>
      <c r="J191" s="94"/>
      <c r="K191" s="94">
        <f>C191-SUM(D191:I191)</f>
        <v>0</v>
      </c>
      <c r="L191" s="94"/>
      <c r="M191" s="94"/>
      <c r="N191" s="94"/>
      <c r="O191" s="94"/>
      <c r="P191" s="94"/>
      <c r="Q191" s="94"/>
      <c r="R191" s="94"/>
      <c r="S191" s="94"/>
      <c r="T191" s="94"/>
      <c r="U191" s="94"/>
      <c r="V191" s="94"/>
      <c r="W191" s="94"/>
      <c r="X191" s="94"/>
      <c r="Y191" s="94"/>
      <c r="Z191" s="94"/>
      <c r="AA191" s="94"/>
      <c r="AB191" s="94"/>
      <c r="AC191" s="94"/>
      <c r="AD191" s="94"/>
      <c r="AE191" s="94"/>
      <c r="AF191" s="94"/>
      <c r="AG191" s="94"/>
      <c r="AH191" s="94"/>
    </row>
    <row r="192" spans="1:34" x14ac:dyDescent="0.3">
      <c r="B192" s="54" t="s">
        <v>74</v>
      </c>
      <c r="C192" s="108">
        <f>+I139+J139</f>
        <v>3682305.7499999995</v>
      </c>
      <c r="D192" s="139"/>
      <c r="E192" s="139"/>
      <c r="F192" s="139"/>
      <c r="G192" s="139">
        <f>+(C192-I192)/2</f>
        <v>644403.50624999986</v>
      </c>
      <c r="H192" s="139">
        <f>+C192-G192-I192</f>
        <v>644403.50624999963</v>
      </c>
      <c r="I192" s="139">
        <f>+J139</f>
        <v>2393498.7374999998</v>
      </c>
      <c r="J192" s="94"/>
      <c r="K192" s="94">
        <f>C192-SUM(D192:I192)</f>
        <v>0</v>
      </c>
      <c r="L192" s="94"/>
      <c r="M192" s="94"/>
      <c r="N192" s="94"/>
      <c r="O192" s="94"/>
      <c r="P192" s="94"/>
      <c r="Q192" s="94"/>
      <c r="R192" s="94"/>
      <c r="S192" s="94"/>
      <c r="T192" s="94"/>
      <c r="U192" s="94"/>
      <c r="V192" s="94"/>
      <c r="W192" s="94"/>
      <c r="X192" s="94"/>
      <c r="Y192" s="94"/>
      <c r="Z192" s="94"/>
      <c r="AA192" s="94"/>
      <c r="AB192" s="94"/>
      <c r="AC192" s="94"/>
      <c r="AD192" s="94"/>
      <c r="AE192" s="94"/>
      <c r="AF192" s="94"/>
      <c r="AG192" s="94"/>
      <c r="AH192" s="94"/>
    </row>
    <row r="193" spans="1:34" ht="18.5" x14ac:dyDescent="0.3">
      <c r="B193" s="178" t="s">
        <v>84</v>
      </c>
      <c r="C193" s="395">
        <f>SUM(C190:C192)</f>
        <v>7959710.8125</v>
      </c>
      <c r="D193" s="179">
        <f>SUM(D190:D192)</f>
        <v>558326.64374999993</v>
      </c>
      <c r="E193" s="180">
        <f t="shared" ref="E193:I193" si="14">SUM(E190:E192)</f>
        <v>808953.79218750005</v>
      </c>
      <c r="F193" s="180">
        <f t="shared" si="14"/>
        <v>808953.79218750005</v>
      </c>
      <c r="G193" s="181">
        <f>SUM(G190:G192)</f>
        <v>1392949.3921874999</v>
      </c>
      <c r="H193" s="180">
        <f t="shared" si="14"/>
        <v>1392949.3921874997</v>
      </c>
      <c r="I193" s="180">
        <f t="shared" si="14"/>
        <v>2997577.8</v>
      </c>
      <c r="J193" s="94"/>
      <c r="K193" s="94">
        <f>C193-SUM(D193:I193)</f>
        <v>0</v>
      </c>
      <c r="L193" s="94"/>
      <c r="M193" s="94"/>
      <c r="N193" s="94"/>
      <c r="O193" s="94"/>
      <c r="P193" s="94"/>
      <c r="Q193" s="94"/>
      <c r="R193" s="94"/>
      <c r="S193" s="94"/>
      <c r="T193" s="94"/>
      <c r="U193" s="94"/>
      <c r="V193" s="94"/>
      <c r="W193" s="94"/>
      <c r="X193" s="94"/>
      <c r="Y193" s="94"/>
      <c r="Z193" s="94"/>
      <c r="AA193" s="94"/>
      <c r="AB193" s="94"/>
      <c r="AC193" s="94"/>
      <c r="AD193" s="94"/>
      <c r="AE193" s="94"/>
      <c r="AF193" s="94"/>
      <c r="AG193" s="94"/>
      <c r="AH193" s="94"/>
    </row>
    <row r="194" spans="1:34" x14ac:dyDescent="0.3">
      <c r="B194" s="100" t="str">
        <f>+B75</f>
        <v>Total gastos de Ventas</v>
      </c>
      <c r="C194" s="108">
        <f>+C193*B196</f>
        <v>766295.36221796111</v>
      </c>
      <c r="D194" s="136">
        <f t="shared" ref="D194:I194" si="15">+D193*$B$196</f>
        <v>53751.088172255724</v>
      </c>
      <c r="E194" s="136">
        <f t="shared" si="15"/>
        <v>77879.404642241658</v>
      </c>
      <c r="F194" s="136">
        <f t="shared" si="15"/>
        <v>77879.404642241658</v>
      </c>
      <c r="G194" s="136">
        <f t="shared" si="15"/>
        <v>134101.6883881432</v>
      </c>
      <c r="H194" s="136">
        <f t="shared" si="15"/>
        <v>134101.68838814317</v>
      </c>
      <c r="I194" s="136">
        <f t="shared" si="15"/>
        <v>288582.08798493567</v>
      </c>
      <c r="J194" s="94"/>
      <c r="K194" s="94">
        <f t="shared" ref="K194:K195" si="16">C194-SUM(D194:I194)</f>
        <v>0</v>
      </c>
      <c r="L194" s="94"/>
      <c r="M194" s="94"/>
      <c r="N194" s="94"/>
      <c r="O194" s="94"/>
      <c r="P194" s="94"/>
      <c r="Q194" s="94"/>
      <c r="R194" s="94"/>
      <c r="S194" s="94"/>
      <c r="T194" s="94"/>
      <c r="U194" s="94"/>
      <c r="V194" s="94"/>
      <c r="W194" s="94"/>
      <c r="X194" s="94"/>
      <c r="Y194" s="94"/>
      <c r="Z194" s="94"/>
      <c r="AA194" s="94"/>
      <c r="AB194" s="94"/>
      <c r="AC194" s="94"/>
      <c r="AD194" s="94"/>
      <c r="AE194" s="94"/>
      <c r="AF194" s="94"/>
      <c r="AG194" s="94"/>
      <c r="AH194" s="94"/>
    </row>
    <row r="195" spans="1:34" ht="18.5" x14ac:dyDescent="0.3">
      <c r="B195" s="101" t="s">
        <v>85</v>
      </c>
      <c r="C195" s="396">
        <f>+C193-C194</f>
        <v>7193415.4502820391</v>
      </c>
      <c r="D195" s="174">
        <f>+D193-D194</f>
        <v>504575.55557774421</v>
      </c>
      <c r="E195" s="175">
        <f t="shared" ref="E195:I195" si="17">+E193-E194</f>
        <v>731074.38754525839</v>
      </c>
      <c r="F195" s="176">
        <f t="shared" si="17"/>
        <v>731074.38754525839</v>
      </c>
      <c r="G195" s="176">
        <f t="shared" si="17"/>
        <v>1258847.7037993567</v>
      </c>
      <c r="H195" s="177">
        <f t="shared" si="17"/>
        <v>1258847.7037993565</v>
      </c>
      <c r="I195" s="177">
        <f t="shared" si="17"/>
        <v>2708995.712015064</v>
      </c>
      <c r="K195" s="94">
        <f t="shared" si="16"/>
        <v>0</v>
      </c>
      <c r="L195" s="94"/>
      <c r="M195" s="94"/>
      <c r="N195" s="94"/>
      <c r="O195" s="94"/>
      <c r="P195" s="94"/>
      <c r="Q195" s="94"/>
      <c r="R195" s="94"/>
      <c r="S195" s="94"/>
      <c r="T195" s="94"/>
      <c r="U195" s="94"/>
      <c r="V195" s="94"/>
      <c r="W195" s="94"/>
      <c r="X195" s="94"/>
      <c r="Y195" s="94"/>
      <c r="Z195" s="94"/>
      <c r="AA195" s="94"/>
      <c r="AB195" s="94"/>
      <c r="AC195" s="94"/>
      <c r="AD195" s="94"/>
      <c r="AE195" s="94"/>
      <c r="AF195" s="94"/>
      <c r="AG195" s="94"/>
      <c r="AH195" s="94"/>
    </row>
    <row r="196" spans="1:34" x14ac:dyDescent="0.3">
      <c r="A196" s="2"/>
      <c r="B196" s="182">
        <f>+C75</f>
        <v>9.6271759146646901E-2</v>
      </c>
      <c r="C196" s="90"/>
      <c r="D196" s="183">
        <f>D195/C195</f>
        <v>7.0144086500378733E-2</v>
      </c>
      <c r="E196" s="183">
        <f>E195/$C$195</f>
        <v>0.10163105309267163</v>
      </c>
      <c r="F196" s="183">
        <f>F195/$C$195</f>
        <v>0.10163105309267163</v>
      </c>
      <c r="G196" s="183">
        <f>G195/$C$195</f>
        <v>0.17499999999999999</v>
      </c>
      <c r="H196" s="183">
        <f>H195/$C$195</f>
        <v>0.17499999999999996</v>
      </c>
      <c r="I196" s="183">
        <f>I195/$C$195</f>
        <v>0.37659380731427794</v>
      </c>
      <c r="J196" s="94"/>
      <c r="K196" s="94"/>
      <c r="L196" s="94"/>
      <c r="M196" s="94"/>
      <c r="N196" s="94"/>
      <c r="O196" s="94"/>
      <c r="P196" s="94"/>
      <c r="Q196" s="94"/>
      <c r="R196" s="94"/>
      <c r="S196" s="94"/>
      <c r="T196" s="94"/>
      <c r="U196" s="94"/>
      <c r="V196" s="94"/>
      <c r="W196" s="94"/>
      <c r="X196" s="94"/>
      <c r="Y196" s="94"/>
      <c r="Z196" s="94"/>
      <c r="AA196" s="94"/>
      <c r="AB196" s="94"/>
      <c r="AC196" s="94"/>
      <c r="AD196" s="94"/>
      <c r="AE196" s="94"/>
      <c r="AF196" s="94"/>
      <c r="AG196" s="94"/>
      <c r="AH196" s="94"/>
    </row>
    <row r="197" spans="1:34" x14ac:dyDescent="0.3">
      <c r="A197" s="2"/>
      <c r="B197" s="2" t="s">
        <v>120</v>
      </c>
      <c r="C197" s="90"/>
      <c r="D197" s="124"/>
      <c r="E197" s="89"/>
      <c r="F197" s="89"/>
      <c r="G197" s="89"/>
      <c r="H197" s="89"/>
      <c r="I197" s="94"/>
      <c r="J197" s="94"/>
      <c r="K197" s="94"/>
      <c r="L197" s="94"/>
      <c r="M197" s="94"/>
      <c r="N197" s="94"/>
      <c r="O197" s="94"/>
      <c r="P197" s="94"/>
      <c r="Q197" s="94"/>
      <c r="R197" s="94"/>
      <c r="S197" s="94"/>
      <c r="T197" s="94"/>
      <c r="U197" s="94"/>
      <c r="V197" s="94"/>
      <c r="W197" s="94"/>
      <c r="X197" s="94"/>
      <c r="Y197" s="94"/>
      <c r="Z197" s="94"/>
      <c r="AA197" s="94"/>
      <c r="AB197" s="94"/>
      <c r="AC197" s="94"/>
      <c r="AD197" s="94"/>
      <c r="AE197" s="94"/>
      <c r="AF197" s="94"/>
      <c r="AG197" s="94"/>
      <c r="AH197" s="94"/>
    </row>
    <row r="198" spans="1:34" x14ac:dyDescent="0.3">
      <c r="A198" s="2"/>
      <c r="B198" s="2"/>
      <c r="C198" s="90"/>
      <c r="D198" s="124"/>
      <c r="E198" s="89"/>
      <c r="F198" s="89"/>
      <c r="G198" s="89"/>
      <c r="H198" s="89"/>
      <c r="I198" s="94"/>
      <c r="J198" s="94"/>
      <c r="K198" s="94"/>
      <c r="L198" s="94"/>
      <c r="M198" s="94"/>
      <c r="N198" s="94"/>
      <c r="O198" s="94"/>
      <c r="P198" s="94"/>
      <c r="Q198" s="94"/>
      <c r="R198" s="94"/>
      <c r="S198" s="94"/>
      <c r="T198" s="94"/>
      <c r="U198" s="94"/>
      <c r="V198" s="94"/>
      <c r="W198" s="94"/>
      <c r="X198" s="94"/>
      <c r="Y198" s="94"/>
      <c r="Z198" s="94"/>
      <c r="AA198" s="94"/>
      <c r="AB198" s="94"/>
      <c r="AC198" s="94"/>
      <c r="AD198" s="94"/>
      <c r="AE198" s="94"/>
      <c r="AF198" s="94"/>
      <c r="AG198" s="94"/>
      <c r="AH198" s="94"/>
    </row>
    <row r="199" spans="1:34" x14ac:dyDescent="0.3">
      <c r="A199" s="2"/>
      <c r="B199" s="2"/>
      <c r="C199" s="90"/>
      <c r="D199" s="124"/>
      <c r="E199" s="89"/>
      <c r="F199" s="89"/>
      <c r="G199" s="89"/>
      <c r="H199" s="89"/>
      <c r="I199" s="94"/>
      <c r="J199" s="94"/>
      <c r="K199" s="94"/>
      <c r="L199" s="94"/>
      <c r="M199" s="94"/>
      <c r="N199" s="94"/>
      <c r="O199" s="94"/>
      <c r="P199" s="94"/>
      <c r="Q199" s="94"/>
      <c r="R199" s="94"/>
      <c r="S199" s="94"/>
      <c r="T199" s="94"/>
      <c r="U199" s="94"/>
      <c r="V199" s="94"/>
      <c r="W199" s="94"/>
      <c r="X199" s="94"/>
      <c r="Y199" s="94"/>
      <c r="Z199" s="94"/>
      <c r="AA199" s="94"/>
      <c r="AB199" s="94"/>
      <c r="AC199" s="94"/>
      <c r="AD199" s="94"/>
      <c r="AE199" s="94"/>
      <c r="AF199" s="94"/>
      <c r="AG199" s="94"/>
      <c r="AH199" s="94"/>
    </row>
    <row r="200" spans="1:34" ht="15.5" x14ac:dyDescent="0.35">
      <c r="A200" s="2"/>
      <c r="B200" s="97" t="str">
        <f>+B162</f>
        <v>FLUJO DE FONDOS  SIN FINANCIAMIENTO</v>
      </c>
      <c r="C200" s="97" t="str">
        <f>+C189</f>
        <v>TOTALES</v>
      </c>
      <c r="D200" s="138" t="str">
        <f>+D189</f>
        <v>Año 1 Preconstruccion</v>
      </c>
      <c r="E200" s="98" t="str">
        <f t="shared" ref="E200:I200" si="18">+E189</f>
        <v>AÑO 2</v>
      </c>
      <c r="F200" s="98" t="str">
        <f t="shared" si="18"/>
        <v>AÑO 3</v>
      </c>
      <c r="G200" s="98" t="str">
        <f t="shared" si="18"/>
        <v>AÑO 4</v>
      </c>
      <c r="H200" s="98" t="str">
        <f t="shared" si="18"/>
        <v>AÑO 5</v>
      </c>
      <c r="I200" s="98" t="str">
        <f t="shared" si="18"/>
        <v>AÑO 6</v>
      </c>
      <c r="J200" s="94"/>
      <c r="K200" s="94"/>
      <c r="L200" s="94"/>
      <c r="M200" s="94"/>
      <c r="N200" s="94"/>
      <c r="O200" s="94"/>
      <c r="P200" s="94"/>
      <c r="Q200" s="94"/>
      <c r="R200" s="94"/>
      <c r="S200" s="94"/>
      <c r="T200" s="94"/>
      <c r="U200" s="94"/>
      <c r="V200" s="94"/>
      <c r="W200" s="94"/>
      <c r="X200" s="94"/>
      <c r="Y200" s="94"/>
      <c r="Z200" s="94"/>
      <c r="AA200" s="94"/>
      <c r="AB200" s="94"/>
      <c r="AC200" s="94"/>
      <c r="AD200" s="94"/>
      <c r="AE200" s="94"/>
      <c r="AF200" s="94"/>
      <c r="AG200" s="94"/>
      <c r="AH200" s="94"/>
    </row>
    <row r="201" spans="1:34" x14ac:dyDescent="0.3">
      <c r="A201" s="2"/>
      <c r="B201" s="54" t="str">
        <f t="shared" ref="B201:I201" si="19">+B195</f>
        <v>TOTAL INGRESOS</v>
      </c>
      <c r="C201" s="108">
        <f t="shared" si="19"/>
        <v>7193415.4502820391</v>
      </c>
      <c r="D201" s="136">
        <f>+D195</f>
        <v>504575.55557774421</v>
      </c>
      <c r="E201" s="136">
        <f t="shared" si="19"/>
        <v>731074.38754525839</v>
      </c>
      <c r="F201" s="136">
        <f t="shared" si="19"/>
        <v>731074.38754525839</v>
      </c>
      <c r="G201" s="136">
        <f t="shared" si="19"/>
        <v>1258847.7037993567</v>
      </c>
      <c r="H201" s="136">
        <f t="shared" si="19"/>
        <v>1258847.7037993565</v>
      </c>
      <c r="I201" s="136">
        <f t="shared" si="19"/>
        <v>2708995.712015064</v>
      </c>
      <c r="J201" s="94"/>
      <c r="K201" s="94"/>
      <c r="L201" s="94"/>
      <c r="M201" s="94"/>
      <c r="N201" s="94"/>
      <c r="O201" s="94"/>
      <c r="P201" s="94"/>
      <c r="Q201" s="94"/>
      <c r="R201" s="94"/>
      <c r="S201" s="94"/>
      <c r="T201" s="94"/>
      <c r="U201" s="94"/>
      <c r="V201" s="94"/>
      <c r="W201" s="94"/>
      <c r="X201" s="94"/>
      <c r="Y201" s="94"/>
      <c r="Z201" s="94"/>
      <c r="AA201" s="94"/>
      <c r="AB201" s="94"/>
      <c r="AC201" s="94"/>
      <c r="AD201" s="94"/>
      <c r="AE201" s="94"/>
      <c r="AF201" s="94"/>
      <c r="AG201" s="94"/>
      <c r="AH201" s="94"/>
    </row>
    <row r="202" spans="1:34" x14ac:dyDescent="0.3">
      <c r="A202" s="2"/>
      <c r="B202" s="54" t="str">
        <f t="shared" ref="B202:H202" si="20">+B185</f>
        <v>EGRESOS</v>
      </c>
      <c r="C202" s="108">
        <f t="shared" si="20"/>
        <v>5792997.5464184005</v>
      </c>
      <c r="D202" s="136">
        <f>+D185</f>
        <v>591843.10465568013</v>
      </c>
      <c r="E202" s="136">
        <f t="shared" si="20"/>
        <v>1319861.1008116798</v>
      </c>
      <c r="F202" s="136">
        <f t="shared" si="20"/>
        <v>1783359.03221168</v>
      </c>
      <c r="G202" s="136">
        <f t="shared" si="20"/>
        <v>1551610.0665116799</v>
      </c>
      <c r="H202" s="136">
        <f t="shared" si="20"/>
        <v>546324.24222768005</v>
      </c>
      <c r="I202" s="136"/>
      <c r="J202" s="94"/>
      <c r="K202" s="94"/>
      <c r="L202" s="94"/>
      <c r="M202" s="94"/>
      <c r="N202" s="94"/>
      <c r="O202" s="94"/>
      <c r="P202" s="94"/>
      <c r="Q202" s="94"/>
      <c r="R202" s="94"/>
      <c r="S202" s="94"/>
      <c r="T202" s="94"/>
      <c r="U202" s="94"/>
      <c r="V202" s="94"/>
      <c r="W202" s="94"/>
      <c r="X202" s="94"/>
      <c r="Y202" s="94"/>
      <c r="Z202" s="94"/>
      <c r="AA202" s="94"/>
      <c r="AB202" s="94"/>
      <c r="AC202" s="94"/>
      <c r="AD202" s="94"/>
      <c r="AE202" s="94"/>
      <c r="AF202" s="94"/>
      <c r="AG202" s="94"/>
      <c r="AH202" s="94"/>
    </row>
    <row r="203" spans="1:34" ht="15.5" x14ac:dyDescent="0.35">
      <c r="A203" s="2"/>
      <c r="B203" s="97" t="s">
        <v>47</v>
      </c>
      <c r="C203" s="97">
        <f t="shared" ref="C203:I203" si="21">+C201-C202</f>
        <v>1400417.9038636386</v>
      </c>
      <c r="D203" s="97">
        <f t="shared" si="21"/>
        <v>-87267.549077935924</v>
      </c>
      <c r="E203" s="97">
        <f t="shared" si="21"/>
        <v>-588786.71326642146</v>
      </c>
      <c r="F203" s="97">
        <f t="shared" si="21"/>
        <v>-1052284.6446664217</v>
      </c>
      <c r="G203" s="97">
        <f t="shared" si="21"/>
        <v>-292762.3627123232</v>
      </c>
      <c r="H203" s="97">
        <f t="shared" si="21"/>
        <v>712523.46157167642</v>
      </c>
      <c r="I203" s="97">
        <f t="shared" si="21"/>
        <v>2708995.712015064</v>
      </c>
      <c r="J203" s="94"/>
      <c r="K203" s="94"/>
      <c r="L203" s="94"/>
      <c r="M203" s="94"/>
      <c r="N203" s="94"/>
      <c r="O203" s="94"/>
      <c r="P203" s="94"/>
      <c r="Q203" s="94"/>
      <c r="R203" s="94"/>
      <c r="S203" s="94"/>
      <c r="T203" s="94"/>
      <c r="U203" s="94"/>
      <c r="V203" s="94"/>
      <c r="W203" s="94"/>
      <c r="X203" s="94"/>
      <c r="Y203" s="94"/>
      <c r="Z203" s="94"/>
      <c r="AA203" s="94"/>
      <c r="AB203" s="94"/>
      <c r="AC203" s="94"/>
      <c r="AD203" s="94"/>
      <c r="AE203" s="94"/>
      <c r="AF203" s="94"/>
      <c r="AG203" s="94"/>
      <c r="AH203" s="94"/>
    </row>
    <row r="204" spans="1:34" ht="14.5" x14ac:dyDescent="0.3">
      <c r="A204" s="2"/>
      <c r="B204" s="103" t="s">
        <v>86</v>
      </c>
      <c r="C204" s="104">
        <f>+C203</f>
        <v>1400417.9038636386</v>
      </c>
      <c r="D204" s="140">
        <f>+D203</f>
        <v>-87267.549077935924</v>
      </c>
      <c r="E204" s="140">
        <f t="shared" ref="E204:I204" si="22">+E203+D204</f>
        <v>-676054.26234435732</v>
      </c>
      <c r="F204" s="140">
        <f t="shared" si="22"/>
        <v>-1728338.907010779</v>
      </c>
      <c r="G204" s="140">
        <f t="shared" si="22"/>
        <v>-2021101.2697231022</v>
      </c>
      <c r="H204" s="140">
        <f t="shared" si="22"/>
        <v>-1308577.8081514258</v>
      </c>
      <c r="I204" s="140">
        <f t="shared" si="22"/>
        <v>1400417.9038636382</v>
      </c>
      <c r="J204" s="94"/>
      <c r="K204" s="94"/>
      <c r="L204" s="94"/>
      <c r="M204" s="94"/>
      <c r="N204" s="94"/>
      <c r="O204" s="94"/>
      <c r="P204" s="94"/>
      <c r="Q204" s="94"/>
      <c r="R204" s="94"/>
      <c r="S204" s="94"/>
      <c r="T204" s="94"/>
      <c r="U204" s="94"/>
      <c r="V204" s="94"/>
      <c r="W204" s="94"/>
      <c r="X204" s="94"/>
      <c r="Y204" s="94"/>
      <c r="Z204" s="94"/>
      <c r="AA204" s="94"/>
      <c r="AB204" s="94"/>
      <c r="AC204" s="94"/>
      <c r="AD204" s="94"/>
      <c r="AE204" s="94"/>
      <c r="AF204" s="94"/>
      <c r="AG204" s="94"/>
    </row>
    <row r="205" spans="1:34" x14ac:dyDescent="0.3">
      <c r="A205" s="2"/>
      <c r="B205" s="2"/>
      <c r="D205" s="124"/>
      <c r="H205" s="94"/>
      <c r="I205" s="94"/>
      <c r="J205" s="94"/>
      <c r="K205" s="94"/>
      <c r="L205" s="94"/>
      <c r="M205" s="94"/>
      <c r="N205" s="94"/>
      <c r="O205" s="94"/>
      <c r="P205" s="94"/>
      <c r="Q205" s="94"/>
      <c r="R205" s="94"/>
      <c r="S205" s="94"/>
      <c r="T205" s="94"/>
      <c r="U205" s="94"/>
      <c r="V205" s="94"/>
      <c r="W205" s="94"/>
      <c r="X205" s="94"/>
      <c r="Y205" s="94"/>
      <c r="Z205" s="94"/>
      <c r="AA205" s="94"/>
      <c r="AB205" s="94"/>
      <c r="AC205" s="94"/>
      <c r="AD205" s="94"/>
      <c r="AE205" s="94"/>
      <c r="AF205" s="94"/>
      <c r="AG205" s="94"/>
    </row>
    <row r="206" spans="1:34" x14ac:dyDescent="0.3">
      <c r="A206" s="2"/>
      <c r="B206" s="2"/>
      <c r="D206" s="124"/>
      <c r="H206" s="94"/>
      <c r="I206" s="94"/>
      <c r="J206" s="94"/>
      <c r="K206" s="94"/>
      <c r="L206" s="94"/>
      <c r="M206" s="94"/>
      <c r="N206" s="94"/>
      <c r="O206" s="94"/>
      <c r="P206" s="94"/>
      <c r="Q206" s="94"/>
      <c r="R206" s="94"/>
      <c r="S206" s="94"/>
      <c r="T206" s="94"/>
      <c r="U206" s="94"/>
      <c r="V206" s="94"/>
      <c r="W206" s="94"/>
      <c r="X206" s="94"/>
      <c r="Y206" s="94"/>
      <c r="Z206" s="94"/>
      <c r="AA206" s="94"/>
      <c r="AB206" s="94"/>
      <c r="AC206" s="94"/>
      <c r="AD206" s="94"/>
      <c r="AE206" s="94"/>
      <c r="AF206" s="94"/>
      <c r="AG206" s="94"/>
    </row>
    <row r="207" spans="1:34" ht="13.5" thickBot="1" x14ac:dyDescent="0.35">
      <c r="A207" s="2"/>
      <c r="B207" s="2"/>
      <c r="D207" s="124"/>
      <c r="H207" s="94"/>
      <c r="I207" s="94"/>
      <c r="J207" s="94"/>
      <c r="K207" s="94"/>
      <c r="L207" s="94"/>
      <c r="M207" s="94"/>
      <c r="N207" s="94"/>
      <c r="O207" s="94"/>
      <c r="P207" s="94"/>
      <c r="Q207" s="94"/>
      <c r="R207" s="94"/>
      <c r="S207" s="94"/>
      <c r="T207" s="94"/>
      <c r="U207" s="94"/>
      <c r="V207" s="94"/>
      <c r="W207" s="94"/>
      <c r="X207" s="94"/>
      <c r="Y207" s="94"/>
      <c r="Z207" s="94"/>
      <c r="AA207" s="94"/>
      <c r="AB207" s="94"/>
      <c r="AC207" s="94"/>
      <c r="AD207" s="94"/>
      <c r="AE207" s="94"/>
      <c r="AF207" s="94"/>
      <c r="AG207" s="94"/>
    </row>
    <row r="208" spans="1:34" ht="15" thickBot="1" x14ac:dyDescent="0.4">
      <c r="A208" s="2"/>
      <c r="B208" s="92" t="s">
        <v>87</v>
      </c>
      <c r="C208" s="93"/>
      <c r="D208" s="124"/>
      <c r="H208" s="94"/>
      <c r="I208" s="94"/>
      <c r="J208" s="94"/>
      <c r="K208" s="94"/>
      <c r="L208" s="94"/>
      <c r="M208" s="94"/>
      <c r="N208" s="94"/>
      <c r="O208" s="94"/>
      <c r="P208" s="94"/>
      <c r="Q208" s="94"/>
      <c r="R208" s="94"/>
      <c r="S208" s="94"/>
      <c r="T208" s="94"/>
      <c r="U208" s="94"/>
      <c r="V208" s="94"/>
      <c r="W208" s="94"/>
      <c r="X208" s="94"/>
      <c r="Y208" s="94"/>
      <c r="Z208" s="94"/>
      <c r="AA208" s="94"/>
      <c r="AB208" s="94"/>
      <c r="AC208" s="94"/>
      <c r="AD208" s="94"/>
      <c r="AE208" s="94"/>
      <c r="AF208" s="94"/>
      <c r="AG208" s="94"/>
    </row>
    <row r="209" spans="1:33" ht="14.5" x14ac:dyDescent="0.3">
      <c r="A209" s="2"/>
      <c r="B209" s="103" t="s">
        <v>88</v>
      </c>
      <c r="C209" s="104">
        <f>+I243</f>
        <v>1400417.9038636382</v>
      </c>
      <c r="D209" s="124"/>
      <c r="E209" s="2" t="s">
        <v>209</v>
      </c>
      <c r="F209" s="90">
        <f>+E144</f>
        <v>1600618.6215422992</v>
      </c>
      <c r="H209" s="94"/>
      <c r="I209" s="94"/>
      <c r="J209" s="94"/>
      <c r="K209" s="94"/>
      <c r="L209" s="94"/>
      <c r="M209" s="94"/>
      <c r="N209" s="94"/>
      <c r="O209" s="94"/>
      <c r="P209" s="94"/>
      <c r="Q209" s="94"/>
      <c r="R209" s="94"/>
      <c r="S209" s="94"/>
      <c r="T209" s="94"/>
      <c r="U209" s="94"/>
      <c r="V209" s="94"/>
      <c r="W209" s="94"/>
      <c r="X209" s="94"/>
      <c r="Y209" s="94"/>
      <c r="Z209" s="94"/>
      <c r="AA209" s="94"/>
      <c r="AB209" s="94"/>
      <c r="AC209" s="94"/>
      <c r="AD209" s="94"/>
      <c r="AE209" s="94"/>
      <c r="AF209" s="94"/>
      <c r="AG209" s="94"/>
    </row>
    <row r="210" spans="1:33" ht="14.5" x14ac:dyDescent="0.3">
      <c r="A210" s="2"/>
      <c r="B210" s="103" t="s">
        <v>89</v>
      </c>
      <c r="C210" s="104">
        <f>MIN(D243:I243)</f>
        <v>-2021101.2697231022</v>
      </c>
      <c r="D210" s="124"/>
      <c r="E210" s="2" t="s">
        <v>211</v>
      </c>
      <c r="F210" s="90">
        <f>+E150</f>
        <v>2997577.8</v>
      </c>
      <c r="H210" s="94"/>
      <c r="I210" s="94"/>
      <c r="J210" s="94"/>
      <c r="K210" s="94"/>
      <c r="L210" s="94"/>
      <c r="M210" s="94"/>
      <c r="N210" s="94"/>
      <c r="O210" s="94"/>
      <c r="P210" s="94"/>
      <c r="Q210" s="94"/>
      <c r="R210" s="94"/>
      <c r="S210" s="94"/>
      <c r="T210" s="94"/>
      <c r="U210" s="94"/>
      <c r="V210" s="94"/>
      <c r="W210" s="94"/>
      <c r="X210" s="94"/>
      <c r="Y210" s="94"/>
      <c r="Z210" s="94"/>
      <c r="AA210" s="94"/>
      <c r="AB210" s="94"/>
      <c r="AC210" s="94"/>
      <c r="AD210" s="94"/>
      <c r="AE210" s="94"/>
      <c r="AF210" s="94"/>
      <c r="AG210" s="94"/>
    </row>
    <row r="211" spans="1:33" ht="14.5" x14ac:dyDescent="0.3">
      <c r="A211" s="2"/>
      <c r="B211" s="103" t="s">
        <v>90</v>
      </c>
      <c r="C211" s="105">
        <f>-C209/C210</f>
        <v>0.6928984335631535</v>
      </c>
      <c r="E211" s="349" t="str">
        <f>+B155</f>
        <v>Socios Originantes</v>
      </c>
      <c r="F211" s="94">
        <f>+E155</f>
        <v>1047719.3838432755</v>
      </c>
      <c r="G211" s="94"/>
      <c r="H211" s="94"/>
      <c r="I211" s="94"/>
      <c r="J211" s="94"/>
      <c r="K211" s="94"/>
      <c r="L211" s="94"/>
      <c r="M211" s="94"/>
      <c r="N211" s="94"/>
      <c r="O211" s="94"/>
      <c r="P211" s="94"/>
      <c r="Q211" s="94"/>
      <c r="R211" s="94"/>
      <c r="S211" s="94"/>
      <c r="T211" s="94"/>
      <c r="U211" s="94"/>
      <c r="V211" s="94"/>
      <c r="W211" s="94"/>
      <c r="X211" s="94"/>
      <c r="Y211" s="94"/>
      <c r="Z211" s="94"/>
      <c r="AA211" s="94"/>
      <c r="AB211" s="94"/>
      <c r="AC211" s="94"/>
      <c r="AD211" s="94"/>
      <c r="AE211" s="94"/>
      <c r="AF211" s="94"/>
      <c r="AG211" s="94"/>
    </row>
    <row r="212" spans="1:33" ht="14.5" x14ac:dyDescent="0.3">
      <c r="A212" s="2"/>
      <c r="B212" s="103" t="s">
        <v>46</v>
      </c>
      <c r="C212" s="105">
        <v>0.12</v>
      </c>
      <c r="E212" s="349" t="str">
        <f>+B156</f>
        <v>Beneficio socios originantes</v>
      </c>
      <c r="F212" s="349">
        <f>+E156</f>
        <v>0.65457153237023469</v>
      </c>
      <c r="G212" s="94"/>
      <c r="H212" s="94"/>
      <c r="I212" s="94"/>
      <c r="J212" s="94"/>
      <c r="K212" s="94"/>
      <c r="L212" s="94"/>
      <c r="M212" s="94"/>
      <c r="N212" s="94"/>
      <c r="O212" s="94"/>
      <c r="P212" s="94"/>
      <c r="Q212" s="94"/>
      <c r="R212" s="94"/>
      <c r="S212" s="94"/>
      <c r="T212" s="94"/>
      <c r="U212" s="94"/>
      <c r="V212" s="94"/>
      <c r="W212" s="94"/>
      <c r="X212" s="94"/>
      <c r="Y212" s="94"/>
      <c r="Z212" s="94"/>
      <c r="AA212" s="94"/>
      <c r="AB212" s="94"/>
      <c r="AC212" s="94"/>
      <c r="AD212" s="94"/>
      <c r="AE212" s="94"/>
      <c r="AF212" s="94"/>
      <c r="AG212" s="94"/>
    </row>
    <row r="213" spans="1:33" ht="14.5" x14ac:dyDescent="0.3">
      <c r="A213" s="2"/>
      <c r="B213" s="103" t="s">
        <v>91</v>
      </c>
      <c r="C213" s="104">
        <f>NPV(C212,E242:I242)+D242</f>
        <v>329751.14525218582</v>
      </c>
      <c r="E213" s="94"/>
      <c r="F213" s="94"/>
      <c r="G213" s="94"/>
      <c r="H213" s="94"/>
      <c r="I213" s="94"/>
      <c r="J213" s="94"/>
      <c r="K213" s="94"/>
      <c r="L213" s="94"/>
      <c r="M213" s="94"/>
      <c r="N213" s="94"/>
      <c r="O213" s="94"/>
      <c r="P213" s="94"/>
      <c r="Q213" s="94"/>
      <c r="R213" s="94"/>
      <c r="S213" s="94"/>
      <c r="T213" s="94"/>
      <c r="U213" s="94"/>
      <c r="V213" s="94"/>
      <c r="W213" s="94"/>
      <c r="X213" s="94"/>
      <c r="Y213" s="94"/>
      <c r="Z213" s="94"/>
      <c r="AA213" s="94"/>
      <c r="AB213" s="94"/>
      <c r="AC213" s="94"/>
      <c r="AD213" s="94"/>
      <c r="AE213" s="94"/>
      <c r="AF213" s="94"/>
      <c r="AG213" s="94"/>
    </row>
    <row r="214" spans="1:33" ht="14.5" x14ac:dyDescent="0.3">
      <c r="A214" s="2"/>
      <c r="B214" s="103" t="s">
        <v>92</v>
      </c>
      <c r="C214" s="105">
        <f>IRR(D242:I242)</f>
        <v>0.18785277961398528</v>
      </c>
      <c r="E214" s="94"/>
      <c r="F214" s="94"/>
      <c r="G214" s="94"/>
      <c r="H214" s="94"/>
      <c r="I214" s="94"/>
      <c r="J214" s="94"/>
      <c r="K214" s="94"/>
      <c r="L214" s="94"/>
      <c r="M214" s="94"/>
      <c r="N214" s="94"/>
      <c r="O214" s="94"/>
      <c r="P214" s="94"/>
      <c r="Q214" s="94"/>
      <c r="R214" s="94"/>
      <c r="S214" s="94"/>
      <c r="T214" s="94"/>
      <c r="U214" s="94"/>
      <c r="V214" s="94"/>
      <c r="W214" s="94"/>
      <c r="X214" s="94"/>
      <c r="Y214" s="94"/>
      <c r="Z214" s="94"/>
      <c r="AA214" s="94"/>
      <c r="AB214" s="94"/>
      <c r="AC214" s="94"/>
      <c r="AD214" s="94"/>
      <c r="AE214" s="94"/>
      <c r="AF214" s="94"/>
      <c r="AG214" s="94"/>
    </row>
    <row r="215" spans="1:33" x14ac:dyDescent="0.3">
      <c r="A215" s="2"/>
      <c r="B215" s="58"/>
      <c r="C215" s="58"/>
      <c r="E215" s="94"/>
      <c r="F215" s="94"/>
      <c r="G215" s="94"/>
      <c r="H215" s="94"/>
      <c r="I215" s="94"/>
      <c r="J215" s="94"/>
    </row>
    <row r="219" spans="1:33" s="191" customFormat="1" ht="21" customHeight="1" x14ac:dyDescent="0.35">
      <c r="A219" s="189"/>
      <c r="B219" s="190" t="s">
        <v>121</v>
      </c>
      <c r="C219" s="190"/>
      <c r="D219" s="190"/>
      <c r="E219" s="190"/>
      <c r="F219" s="190"/>
      <c r="G219" s="190"/>
    </row>
    <row r="220" spans="1:33" ht="14.5" x14ac:dyDescent="0.35">
      <c r="B220" s="387" t="str">
        <f>+B190</f>
        <v>TOTAL PREVENTA</v>
      </c>
      <c r="C220" s="187">
        <v>0.2</v>
      </c>
      <c r="D220" s="187">
        <v>0.2</v>
      </c>
      <c r="E220" s="187">
        <v>0.3</v>
      </c>
      <c r="F220" s="188">
        <v>0.3</v>
      </c>
      <c r="G220" s="187">
        <v>0.4</v>
      </c>
    </row>
    <row r="221" spans="1:33" ht="14.5" x14ac:dyDescent="0.35">
      <c r="B221" s="387" t="str">
        <f>+B191</f>
        <v xml:space="preserve">TOTAL VENTA DURANTE LA OBRA </v>
      </c>
      <c r="C221" s="187">
        <v>0.2</v>
      </c>
      <c r="D221" s="187">
        <v>0.3</v>
      </c>
      <c r="E221" s="188">
        <v>0.3</v>
      </c>
      <c r="F221" s="188">
        <v>0.4</v>
      </c>
      <c r="G221" s="187">
        <v>0.4</v>
      </c>
    </row>
    <row r="222" spans="1:33" ht="14.5" x14ac:dyDescent="0.35">
      <c r="B222" s="387" t="str">
        <f>+B192</f>
        <v>TOTAL VENTA REMANENTE</v>
      </c>
      <c r="C222" s="187">
        <f>1-C220-C221</f>
        <v>0.60000000000000009</v>
      </c>
      <c r="D222" s="187">
        <f t="shared" ref="D222:G222" si="23">1-D220-D221</f>
        <v>0.5</v>
      </c>
      <c r="E222" s="187">
        <f t="shared" si="23"/>
        <v>0.39999999999999997</v>
      </c>
      <c r="F222" s="187">
        <f t="shared" si="23"/>
        <v>0.29999999999999993</v>
      </c>
      <c r="G222" s="187">
        <f t="shared" si="23"/>
        <v>0.19999999999999996</v>
      </c>
    </row>
    <row r="223" spans="1:33" x14ac:dyDescent="0.3">
      <c r="B223" s="2" t="s">
        <v>209</v>
      </c>
      <c r="C223" s="389">
        <v>2074220.3249291228</v>
      </c>
      <c r="D223" s="390">
        <v>1804665.5426731855</v>
      </c>
      <c r="E223" s="391">
        <f>+F209</f>
        <v>1600618.6215422992</v>
      </c>
      <c r="F223" s="391">
        <v>1230996.2566488115</v>
      </c>
      <c r="G223" s="391">
        <v>926881.75288037397</v>
      </c>
    </row>
    <row r="224" spans="1:33" x14ac:dyDescent="0.3">
      <c r="B224" s="2" t="s">
        <v>210</v>
      </c>
      <c r="C224" s="389">
        <v>3945587.4923981242</v>
      </c>
      <c r="D224" s="390">
        <v>3559678.1278734361</v>
      </c>
      <c r="E224" s="391">
        <f t="shared" ref="E224:E226" si="24">+F210</f>
        <v>2997577.8</v>
      </c>
      <c r="F224" s="391">
        <v>2593935.0950428112</v>
      </c>
      <c r="G224" s="391">
        <v>2014101.426736874</v>
      </c>
    </row>
    <row r="225" spans="1:33" x14ac:dyDescent="0.3">
      <c r="B225" s="349" t="s">
        <v>212</v>
      </c>
      <c r="C225" s="392">
        <v>1403525.375601751</v>
      </c>
      <c r="D225" s="393">
        <v>1316259.4389001881</v>
      </c>
      <c r="E225" s="391">
        <f t="shared" si="24"/>
        <v>1047719.3838432755</v>
      </c>
      <c r="F225" s="394">
        <v>1022204.1287954998</v>
      </c>
      <c r="G225" s="394">
        <v>815414.75539237505</v>
      </c>
    </row>
    <row r="226" spans="1:33" x14ac:dyDescent="0.3">
      <c r="B226" s="349" t="s">
        <v>213</v>
      </c>
      <c r="C226" s="388">
        <v>0.67665202135636682</v>
      </c>
      <c r="D226" s="388">
        <v>0.72936475362102871</v>
      </c>
      <c r="E226" s="350">
        <f t="shared" si="24"/>
        <v>0.65457153237023469</v>
      </c>
      <c r="F226" s="388">
        <v>0.83038768255744777</v>
      </c>
      <c r="G226" s="388">
        <v>0.87973978650285811</v>
      </c>
    </row>
    <row r="230" spans="1:33" x14ac:dyDescent="0.3">
      <c r="A230" s="2"/>
      <c r="B230" s="2"/>
      <c r="D230" s="2"/>
      <c r="J230" s="94"/>
      <c r="K230" s="94"/>
      <c r="L230" s="94"/>
      <c r="M230" s="94"/>
      <c r="N230" s="94"/>
      <c r="O230" s="94"/>
      <c r="P230" s="94"/>
      <c r="Q230" s="94"/>
      <c r="R230" s="94"/>
      <c r="S230" s="94"/>
      <c r="T230" s="94"/>
      <c r="U230" s="94"/>
      <c r="V230" s="94"/>
      <c r="W230" s="94"/>
      <c r="X230" s="94"/>
      <c r="Y230" s="94"/>
      <c r="Z230" s="94"/>
      <c r="AA230" s="94"/>
      <c r="AB230" s="94"/>
      <c r="AC230" s="94"/>
      <c r="AD230" s="94"/>
      <c r="AE230" s="94"/>
      <c r="AF230" s="94"/>
      <c r="AG230" s="94"/>
    </row>
    <row r="231" spans="1:33" x14ac:dyDescent="0.3">
      <c r="A231" s="2"/>
      <c r="B231" s="2"/>
      <c r="D231" s="2"/>
      <c r="J231" s="94"/>
      <c r="K231" s="94"/>
      <c r="L231" s="94"/>
      <c r="M231" s="94"/>
      <c r="N231" s="94"/>
      <c r="O231" s="94"/>
      <c r="P231" s="94"/>
      <c r="Q231" s="94"/>
      <c r="R231" s="94"/>
      <c r="S231" s="94"/>
      <c r="T231" s="94"/>
      <c r="U231" s="94"/>
      <c r="V231" s="94"/>
      <c r="W231" s="94"/>
      <c r="X231" s="94"/>
      <c r="Y231" s="94"/>
      <c r="Z231" s="94"/>
      <c r="AA231" s="94"/>
      <c r="AB231" s="94"/>
      <c r="AC231" s="94"/>
      <c r="AD231" s="94"/>
      <c r="AE231" s="94"/>
      <c r="AF231" s="94"/>
      <c r="AG231" s="94"/>
    </row>
    <row r="232" spans="1:33" x14ac:dyDescent="0.3">
      <c r="A232" s="2"/>
      <c r="B232" s="2"/>
      <c r="D232" s="2"/>
      <c r="J232" s="94"/>
      <c r="K232" s="94"/>
      <c r="L232" s="94"/>
      <c r="M232" s="94"/>
      <c r="N232" s="94"/>
      <c r="O232" s="94"/>
      <c r="P232" s="94"/>
      <c r="Q232" s="94"/>
      <c r="R232" s="94"/>
      <c r="S232" s="94"/>
      <c r="T232" s="94"/>
      <c r="U232" s="94"/>
      <c r="V232" s="94"/>
      <c r="W232" s="94"/>
      <c r="X232" s="94"/>
      <c r="Y232" s="94"/>
      <c r="Z232" s="94"/>
      <c r="AA232" s="94"/>
      <c r="AB232" s="94"/>
      <c r="AC232" s="94"/>
      <c r="AD232" s="94"/>
      <c r="AE232" s="94"/>
      <c r="AF232" s="94"/>
      <c r="AG232" s="94"/>
    </row>
    <row r="233" spans="1:33" ht="26" x14ac:dyDescent="0.6">
      <c r="A233" s="2"/>
      <c r="B233" s="403" t="s">
        <v>215</v>
      </c>
      <c r="D233" s="2"/>
      <c r="J233" s="94"/>
      <c r="K233" s="94"/>
      <c r="L233" s="94"/>
      <c r="M233" s="94"/>
      <c r="N233" s="94"/>
      <c r="O233" s="94"/>
      <c r="P233" s="94"/>
      <c r="Q233" s="94"/>
      <c r="R233" s="94"/>
      <c r="S233" s="94"/>
      <c r="T233" s="94"/>
      <c r="U233" s="94"/>
      <c r="V233" s="94"/>
      <c r="W233" s="94"/>
      <c r="X233" s="94"/>
      <c r="Y233" s="94"/>
      <c r="Z233" s="94"/>
      <c r="AA233" s="94"/>
      <c r="AB233" s="94"/>
      <c r="AC233" s="94"/>
      <c r="AD233" s="94"/>
      <c r="AE233" s="94"/>
      <c r="AF233" s="94"/>
      <c r="AG233" s="94"/>
    </row>
    <row r="234" spans="1:33" x14ac:dyDescent="0.3">
      <c r="A234" s="2"/>
      <c r="B234" s="2"/>
      <c r="D234" s="2"/>
      <c r="J234" s="94"/>
      <c r="K234" s="94"/>
      <c r="L234" s="94"/>
      <c r="M234" s="94"/>
      <c r="N234" s="94"/>
      <c r="O234" s="94"/>
      <c r="P234" s="94"/>
      <c r="Q234" s="94"/>
      <c r="R234" s="94"/>
      <c r="S234" s="94"/>
      <c r="T234" s="94"/>
      <c r="U234" s="94"/>
      <c r="V234" s="94"/>
      <c r="W234" s="94"/>
      <c r="X234" s="94"/>
      <c r="Y234" s="94"/>
      <c r="Z234" s="94"/>
      <c r="AA234" s="94"/>
      <c r="AB234" s="94"/>
      <c r="AC234" s="94"/>
      <c r="AD234" s="94"/>
      <c r="AE234" s="94"/>
      <c r="AF234" s="94"/>
      <c r="AG234" s="94"/>
    </row>
    <row r="235" spans="1:33" x14ac:dyDescent="0.3">
      <c r="A235" s="2"/>
      <c r="B235" s="2"/>
      <c r="D235" s="2"/>
      <c r="J235" s="94"/>
      <c r="K235" s="94"/>
      <c r="L235" s="94"/>
      <c r="M235" s="94"/>
      <c r="N235" s="94"/>
      <c r="O235" s="94"/>
      <c r="P235" s="94"/>
      <c r="Q235" s="94"/>
      <c r="R235" s="94"/>
      <c r="S235" s="94"/>
      <c r="T235" s="94"/>
      <c r="U235" s="94"/>
      <c r="V235" s="94"/>
      <c r="W235" s="94"/>
      <c r="X235" s="94"/>
      <c r="Y235" s="94"/>
      <c r="Z235" s="94"/>
      <c r="AA235" s="94"/>
      <c r="AB235" s="94"/>
      <c r="AC235" s="94"/>
      <c r="AD235" s="94"/>
      <c r="AE235" s="94"/>
      <c r="AF235" s="94"/>
      <c r="AG235" s="94"/>
    </row>
    <row r="236" spans="1:33" ht="15.5" x14ac:dyDescent="0.35">
      <c r="A236" s="2"/>
      <c r="B236" s="97" t="s">
        <v>214</v>
      </c>
      <c r="C236" s="97" t="str">
        <f>+C200</f>
        <v>TOTALES</v>
      </c>
      <c r="D236" s="138" t="str">
        <f>+D200</f>
        <v>Año 1 Preconstruccion</v>
      </c>
      <c r="E236" s="98" t="str">
        <f>+E200</f>
        <v>AÑO 2</v>
      </c>
      <c r="F236" s="98" t="str">
        <f>+F200</f>
        <v>AÑO 3</v>
      </c>
      <c r="G236" s="98" t="str">
        <f>+G200</f>
        <v>AÑO 4</v>
      </c>
      <c r="H236" s="98" t="str">
        <f>+H200</f>
        <v>AÑO 5</v>
      </c>
      <c r="I236" s="98" t="str">
        <f>+I200</f>
        <v>AÑO 6</v>
      </c>
      <c r="J236" s="94"/>
      <c r="K236" s="94"/>
      <c r="L236" s="94"/>
      <c r="M236" s="94"/>
      <c r="N236" s="94"/>
      <c r="O236" s="94"/>
      <c r="P236" s="94"/>
      <c r="Q236" s="94"/>
      <c r="R236" s="94"/>
      <c r="S236" s="94"/>
      <c r="T236" s="94"/>
      <c r="U236" s="94"/>
      <c r="V236" s="94"/>
      <c r="W236" s="94"/>
      <c r="X236" s="94"/>
      <c r="Y236" s="94"/>
      <c r="Z236" s="94"/>
      <c r="AA236" s="94"/>
      <c r="AB236" s="94"/>
      <c r="AC236" s="94"/>
      <c r="AD236" s="94"/>
      <c r="AE236" s="94"/>
      <c r="AF236" s="94"/>
      <c r="AG236" s="94"/>
    </row>
    <row r="237" spans="1:33" x14ac:dyDescent="0.3">
      <c r="A237" s="2"/>
      <c r="B237" s="54" t="str">
        <f>+B201</f>
        <v>TOTAL INGRESOS</v>
      </c>
      <c r="C237" s="108">
        <f>+C201</f>
        <v>7193415.4502820391</v>
      </c>
      <c r="D237" s="136">
        <f>+D201</f>
        <v>504575.55557774421</v>
      </c>
      <c r="E237" s="136">
        <f>+E201</f>
        <v>731074.38754525839</v>
      </c>
      <c r="F237" s="136">
        <f>+F201</f>
        <v>731074.38754525839</v>
      </c>
      <c r="G237" s="136">
        <f>+G201</f>
        <v>1258847.7037993567</v>
      </c>
      <c r="H237" s="136">
        <f>+H201</f>
        <v>1258847.7037993565</v>
      </c>
      <c r="I237" s="136">
        <f>+I201</f>
        <v>2708995.712015064</v>
      </c>
      <c r="J237" s="94"/>
      <c r="K237" s="94"/>
      <c r="L237" s="94"/>
      <c r="M237" s="94"/>
      <c r="N237" s="94"/>
      <c r="O237" s="94"/>
      <c r="P237" s="94"/>
      <c r="Q237" s="94"/>
      <c r="R237" s="94"/>
      <c r="S237" s="94"/>
      <c r="T237" s="94"/>
      <c r="U237" s="94"/>
      <c r="V237" s="94"/>
      <c r="W237" s="94"/>
      <c r="X237" s="94"/>
      <c r="Y237" s="94"/>
      <c r="Z237" s="94"/>
      <c r="AA237" s="94"/>
      <c r="AB237" s="94"/>
      <c r="AC237" s="94"/>
      <c r="AD237" s="94"/>
      <c r="AE237" s="94"/>
      <c r="AF237" s="94"/>
      <c r="AG237" s="94"/>
    </row>
    <row r="238" spans="1:33" x14ac:dyDescent="0.3">
      <c r="B238" s="54" t="str">
        <f>+B202</f>
        <v>EGRESOS</v>
      </c>
      <c r="C238" s="108">
        <f>+C202</f>
        <v>5792997.5464184005</v>
      </c>
      <c r="D238" s="136">
        <f>+D202</f>
        <v>591843.10465568013</v>
      </c>
      <c r="E238" s="136">
        <f>+E202</f>
        <v>1319861.1008116798</v>
      </c>
      <c r="F238" s="136">
        <f>+F202</f>
        <v>1783359.03221168</v>
      </c>
      <c r="G238" s="136">
        <f>+G202</f>
        <v>1551610.0665116799</v>
      </c>
      <c r="H238" s="136">
        <f>+H202</f>
        <v>546324.24222768005</v>
      </c>
      <c r="I238" s="136">
        <f>+I202</f>
        <v>0</v>
      </c>
    </row>
    <row r="239" spans="1:33" ht="14.5" x14ac:dyDescent="0.3">
      <c r="B239" s="103" t="str">
        <f>+B113</f>
        <v>Servicios de creditos / deuda</v>
      </c>
      <c r="C239" s="104"/>
      <c r="D239" s="140"/>
      <c r="E239" s="140"/>
      <c r="F239" s="140"/>
      <c r="G239" s="140"/>
      <c r="H239" s="140"/>
      <c r="I239" s="140"/>
    </row>
    <row r="240" spans="1:33" x14ac:dyDescent="0.3">
      <c r="B240" s="88" t="str">
        <f>+C113</f>
        <v>Capital</v>
      </c>
      <c r="C240" s="108">
        <f>+D113</f>
        <v>0</v>
      </c>
      <c r="D240" s="2"/>
    </row>
    <row r="241" spans="2:9" x14ac:dyDescent="0.3">
      <c r="B241" s="88" t="str">
        <f>+E113</f>
        <v>Intereses+ Gastos</v>
      </c>
      <c r="C241" s="108">
        <f>+F113</f>
        <v>0</v>
      </c>
      <c r="D241" s="124"/>
      <c r="E241" s="124"/>
      <c r="F241" s="124"/>
      <c r="G241" s="124"/>
      <c r="H241" s="124"/>
      <c r="I241" s="124"/>
    </row>
    <row r="242" spans="2:9" ht="15.5" x14ac:dyDescent="0.35">
      <c r="B242" s="97" t="str">
        <f>+B203</f>
        <v>SALDO</v>
      </c>
      <c r="C242" s="97">
        <f>+C203</f>
        <v>1400417.9038636386</v>
      </c>
      <c r="D242" s="97">
        <f>+D237+D240-D238-D241</f>
        <v>-87267.549077935924</v>
      </c>
      <c r="E242" s="97">
        <f>+E203</f>
        <v>-588786.71326642146</v>
      </c>
      <c r="F242" s="97">
        <f>+F203</f>
        <v>-1052284.6446664217</v>
      </c>
      <c r="G242" s="97">
        <f>+G203</f>
        <v>-292762.3627123232</v>
      </c>
      <c r="H242" s="97">
        <f>+H203</f>
        <v>712523.46157167642</v>
      </c>
      <c r="I242" s="97">
        <f>+I203</f>
        <v>2708995.712015064</v>
      </c>
    </row>
    <row r="243" spans="2:9" ht="14.5" x14ac:dyDescent="0.3">
      <c r="B243" s="103" t="str">
        <f>+B204</f>
        <v>SALDO ACUMULADO</v>
      </c>
      <c r="C243" s="104">
        <f>+C204</f>
        <v>1400417.9038636386</v>
      </c>
      <c r="D243" s="140">
        <f>+D242</f>
        <v>-87267.549077935924</v>
      </c>
      <c r="E243" s="140">
        <f>+E242+D243</f>
        <v>-676054.26234435732</v>
      </c>
      <c r="F243" s="140">
        <f t="shared" ref="F243:I243" si="25">+F242+E243</f>
        <v>-1728338.907010779</v>
      </c>
      <c r="G243" s="140">
        <f t="shared" si="25"/>
        <v>-2021101.2697231022</v>
      </c>
      <c r="H243" s="140">
        <f t="shared" si="25"/>
        <v>-1308577.8081514258</v>
      </c>
      <c r="I243" s="140">
        <f t="shared" si="25"/>
        <v>1400417.9038636382</v>
      </c>
    </row>
    <row r="245" spans="2:9" ht="13.5" thickBot="1" x14ac:dyDescent="0.35"/>
    <row r="246" spans="2:9" ht="15" thickBot="1" x14ac:dyDescent="0.4">
      <c r="B246" s="92" t="s">
        <v>87</v>
      </c>
      <c r="C246" s="93"/>
    </row>
    <row r="247" spans="2:9" ht="14.5" x14ac:dyDescent="0.3">
      <c r="B247" s="103" t="s">
        <v>88</v>
      </c>
      <c r="C247" s="104">
        <f>I243</f>
        <v>1400417.9038636382</v>
      </c>
    </row>
    <row r="248" spans="2:9" ht="14.5" x14ac:dyDescent="0.3">
      <c r="B248" s="103" t="s">
        <v>89</v>
      </c>
      <c r="C248" s="104">
        <f>MIN(D243:I243)</f>
        <v>-2021101.2697231022</v>
      </c>
    </row>
    <row r="249" spans="2:9" ht="14.5" x14ac:dyDescent="0.3">
      <c r="B249" s="103" t="s">
        <v>90</v>
      </c>
      <c r="C249" s="105">
        <f>-C247/C248</f>
        <v>0.6928984335631535</v>
      </c>
    </row>
    <row r="250" spans="2:9" ht="14.5" x14ac:dyDescent="0.3">
      <c r="B250" s="103" t="s">
        <v>46</v>
      </c>
      <c r="C250" s="105">
        <v>0.06</v>
      </c>
    </row>
    <row r="251" spans="2:9" ht="14.5" x14ac:dyDescent="0.3">
      <c r="B251" s="103" t="s">
        <v>91</v>
      </c>
      <c r="C251" s="104">
        <f>NPV(C250,E242:I242)+D242</f>
        <v>763639.27963075135</v>
      </c>
    </row>
    <row r="252" spans="2:9" ht="14.5" x14ac:dyDescent="0.3">
      <c r="B252" s="103" t="s">
        <v>92</v>
      </c>
      <c r="C252" s="105">
        <f>IRR(D242:I242)</f>
        <v>0.18785277961398528</v>
      </c>
    </row>
  </sheetData>
  <pageMargins left="0.75000000000000011" right="0.75000000000000011" top="1" bottom="1" header="0" footer="0"/>
  <pageSetup paperSize="9" scale="95" orientation="landscape" horizontalDpi="4294967293" vertic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H48"/>
  <sheetViews>
    <sheetView showGridLines="0" zoomScale="70" zoomScaleNormal="70" workbookViewId="0">
      <selection activeCell="B8" sqref="B8"/>
    </sheetView>
  </sheetViews>
  <sheetFormatPr baseColWidth="10" defaultColWidth="14.81640625" defaultRowHeight="19" x14ac:dyDescent="0.55000000000000004"/>
  <cols>
    <col min="1" max="1" width="14.81640625" style="233"/>
    <col min="2" max="2" width="65.54296875" style="233" bestFit="1" customWidth="1"/>
    <col min="3" max="3" width="46.26953125" style="234" hidden="1" customWidth="1"/>
    <col min="4" max="4" width="13.7265625" style="233" bestFit="1" customWidth="1"/>
    <col min="5" max="5" width="27" style="235" customWidth="1"/>
    <col min="6" max="6" width="17.26953125" style="236" hidden="1" customWidth="1"/>
    <col min="7" max="7" width="29.453125" style="238" bestFit="1" customWidth="1"/>
    <col min="9" max="16384" width="14.81640625" style="233"/>
  </cols>
  <sheetData>
    <row r="1" spans="2:7" x14ac:dyDescent="0.55000000000000004">
      <c r="G1" s="237">
        <v>43561</v>
      </c>
    </row>
    <row r="2" spans="2:7" x14ac:dyDescent="0.55000000000000004">
      <c r="G2" s="237"/>
    </row>
    <row r="3" spans="2:7" x14ac:dyDescent="0.55000000000000004">
      <c r="G3" s="237"/>
    </row>
    <row r="4" spans="2:7" ht="30" customHeight="1" x14ac:dyDescent="0.45">
      <c r="B4" s="239" t="s">
        <v>135</v>
      </c>
      <c r="C4" s="240"/>
      <c r="D4" s="241"/>
      <c r="E4" s="240"/>
      <c r="F4" s="241"/>
      <c r="G4" s="343"/>
    </row>
    <row r="5" spans="2:7" ht="4.1500000000000004" customHeight="1" x14ac:dyDescent="0.45">
      <c r="B5" s="243"/>
      <c r="C5" s="243"/>
      <c r="D5" s="243"/>
      <c r="E5" s="243"/>
      <c r="F5" s="243"/>
      <c r="G5" s="243"/>
    </row>
    <row r="6" spans="2:7" ht="18.75" customHeight="1" x14ac:dyDescent="0.55000000000000004">
      <c r="B6" s="244"/>
      <c r="C6" s="245"/>
      <c r="D6" s="245" t="s">
        <v>48</v>
      </c>
      <c r="E6" s="397" t="s">
        <v>35</v>
      </c>
      <c r="F6" s="245"/>
      <c r="G6" s="397" t="s">
        <v>183</v>
      </c>
    </row>
    <row r="7" spans="2:7" ht="18.75" customHeight="1" x14ac:dyDescent="0.55000000000000004">
      <c r="B7" s="244" t="s">
        <v>216</v>
      </c>
      <c r="C7" s="245"/>
      <c r="D7" s="246">
        <f>+DATOS!C5</f>
        <v>3907</v>
      </c>
      <c r="E7" s="398">
        <f>+'PLAN DE NEGOCIOS 15%'!D21+'PLAN DE NEGOCIOS 15%'!E21</f>
        <v>586.04999999999995</v>
      </c>
      <c r="F7" s="246"/>
      <c r="G7" s="398">
        <f>+D7-E7</f>
        <v>3320.95</v>
      </c>
    </row>
    <row r="8" spans="2:7" ht="18.75" customHeight="1" x14ac:dyDescent="0.55000000000000004">
      <c r="B8" s="244" t="str">
        <f>+DATOS!B6</f>
        <v>n° cocheras</v>
      </c>
      <c r="C8" s="245"/>
      <c r="D8" s="246">
        <f>+DATOS!C6</f>
        <v>44</v>
      </c>
      <c r="E8" s="398">
        <f>+'PLAN DE NEGOCIOS 15%'!F21+'PLAN DE NEGOCIOS 15%'!G21</f>
        <v>5</v>
      </c>
      <c r="F8" s="246"/>
      <c r="G8" s="398">
        <f>+D8-E8</f>
        <v>39</v>
      </c>
    </row>
    <row r="9" spans="2:7" ht="18.75" customHeight="1" x14ac:dyDescent="0.55000000000000004">
      <c r="B9" s="244" t="s">
        <v>184</v>
      </c>
      <c r="C9" s="245"/>
      <c r="D9" s="246">
        <f>+DATOS!C7</f>
        <v>6094</v>
      </c>
      <c r="E9" s="247"/>
      <c r="F9" s="247"/>
      <c r="G9" s="247"/>
    </row>
    <row r="10" spans="2:7" ht="7.5" customHeight="1" x14ac:dyDescent="0.55000000000000004">
      <c r="B10" s="244"/>
      <c r="C10" s="248"/>
      <c r="D10" s="249"/>
      <c r="E10" s="249"/>
      <c r="F10" s="250"/>
      <c r="G10" s="251"/>
    </row>
    <row r="11" spans="2:7" ht="7.5" customHeight="1" x14ac:dyDescent="0.55000000000000004">
      <c r="B11" s="244"/>
      <c r="C11" s="248"/>
      <c r="D11" s="249"/>
      <c r="E11" s="249"/>
      <c r="F11" s="250"/>
      <c r="G11" s="251"/>
    </row>
    <row r="12" spans="2:7" ht="18.75" customHeight="1" x14ac:dyDescent="0.55000000000000004">
      <c r="B12" s="248" t="str">
        <f>+DATOS!B20</f>
        <v>valor de venta m2 (promedio)</v>
      </c>
      <c r="C12" s="248"/>
      <c r="D12" s="248">
        <f>+DATOS!C20</f>
        <v>2250</v>
      </c>
      <c r="E12" s="248" t="s">
        <v>185</v>
      </c>
      <c r="F12" s="250"/>
      <c r="G12" s="252">
        <v>2800</v>
      </c>
    </row>
    <row r="13" spans="2:7" ht="18.75" customHeight="1" x14ac:dyDescent="0.55000000000000004">
      <c r="B13" s="248" t="str">
        <f>+DATOS!B21</f>
        <v>valor de venta cocheras (promedio)</v>
      </c>
      <c r="C13" s="248"/>
      <c r="D13" s="248">
        <f>+DATOS!C21</f>
        <v>25000</v>
      </c>
      <c r="E13" s="244"/>
      <c r="F13" s="248"/>
      <c r="G13" s="248"/>
    </row>
    <row r="14" spans="2:7" ht="18.75" customHeight="1" x14ac:dyDescent="0.45">
      <c r="B14" s="253"/>
      <c r="C14" s="253"/>
      <c r="D14" s="253"/>
      <c r="E14" s="243"/>
      <c r="F14" s="253"/>
      <c r="G14" s="253"/>
    </row>
    <row r="15" spans="2:7" ht="30" customHeight="1" x14ac:dyDescent="0.45">
      <c r="B15" s="239" t="s">
        <v>155</v>
      </c>
      <c r="C15" s="240"/>
      <c r="D15" s="241"/>
      <c r="E15" s="240"/>
      <c r="F15" s="241"/>
      <c r="G15" s="242" t="s">
        <v>174</v>
      </c>
    </row>
    <row r="16" spans="2:7" ht="7.5" customHeight="1" x14ac:dyDescent="0.45">
      <c r="B16" s="243"/>
      <c r="C16" s="243"/>
      <c r="D16" s="243"/>
      <c r="E16" s="243"/>
      <c r="F16" s="243"/>
      <c r="G16" s="243"/>
    </row>
    <row r="17" spans="2:7" ht="28" x14ac:dyDescent="0.45">
      <c r="B17" s="254" t="s">
        <v>156</v>
      </c>
      <c r="C17" s="255"/>
      <c r="D17" s="256"/>
      <c r="E17" s="257"/>
      <c r="F17" s="258">
        <f>SUM(C18:C24)</f>
        <v>6562751.6340422984</v>
      </c>
      <c r="G17" s="259">
        <f>F17/1000000</f>
        <v>6.5627516340422982</v>
      </c>
    </row>
    <row r="18" spans="2:7" ht="25.5" x14ac:dyDescent="0.75">
      <c r="B18" s="243" t="s">
        <v>9</v>
      </c>
      <c r="C18" s="253">
        <f>+'PLAN DE NEGOCIOS 15%'!D19</f>
        <v>150000</v>
      </c>
      <c r="D18" s="260">
        <f>+C18/$F$17</f>
        <v>2.2856266451090446E-2</v>
      </c>
      <c r="E18" s="261" t="s">
        <v>188</v>
      </c>
      <c r="F18" s="262"/>
      <c r="G18" s="263">
        <f>+'PLAN DE NEGOCIOS 15%'!D19</f>
        <v>150000</v>
      </c>
    </row>
    <row r="19" spans="2:7" ht="25.5" x14ac:dyDescent="0.75">
      <c r="B19" s="264" t="s">
        <v>13</v>
      </c>
      <c r="C19" s="253">
        <f>+'PLAN DE NEGOCIOS 15%'!D35</f>
        <v>4071500</v>
      </c>
      <c r="D19" s="260">
        <f t="shared" ref="D19:D24" si="0">+C19/$F$17</f>
        <v>0.62039525903743176</v>
      </c>
      <c r="E19" s="265"/>
      <c r="F19" s="262"/>
      <c r="G19" s="263">
        <f t="shared" ref="G19:G24" si="1">+C19/1000000</f>
        <v>4.0715000000000003</v>
      </c>
    </row>
    <row r="20" spans="2:7" ht="25.5" x14ac:dyDescent="0.75">
      <c r="B20" s="243" t="s">
        <v>157</v>
      </c>
      <c r="C20" s="253">
        <f>+'PLAN DE NEGOCIOS 15%'!D43</f>
        <v>634673.56300000008</v>
      </c>
      <c r="D20" s="260">
        <f t="shared" si="0"/>
        <v>9.6708453769272937E-2</v>
      </c>
      <c r="E20" s="265"/>
      <c r="F20" s="262"/>
      <c r="G20" s="263">
        <f t="shared" si="1"/>
        <v>0.63467356300000011</v>
      </c>
    </row>
    <row r="21" spans="2:7" ht="25.5" x14ac:dyDescent="0.75">
      <c r="B21" s="266" t="s">
        <v>60</v>
      </c>
      <c r="C21" s="253">
        <f>+'PLAN DE NEGOCIOS 15%'!D49</f>
        <v>332217.10344500002</v>
      </c>
      <c r="D21" s="260">
        <f t="shared" si="0"/>
        <v>5.0621617572989323E-2</v>
      </c>
      <c r="E21" s="265"/>
      <c r="F21" s="262"/>
      <c r="G21" s="263">
        <f t="shared" si="1"/>
        <v>0.33221710344499999</v>
      </c>
    </row>
    <row r="22" spans="2:7" ht="25.5" x14ac:dyDescent="0.75">
      <c r="B22" s="266" t="s">
        <v>171</v>
      </c>
      <c r="C22" s="253">
        <f>+'PLAN DE NEGOCIOS 15%'!D50</f>
        <v>604606.87997340003</v>
      </c>
      <c r="D22" s="260">
        <f t="shared" si="0"/>
        <v>9.2127039645563277E-2</v>
      </c>
      <c r="E22" s="265"/>
      <c r="F22" s="262"/>
      <c r="G22" s="263">
        <f t="shared" si="1"/>
        <v>0.60460687997340001</v>
      </c>
    </row>
    <row r="23" spans="2:7" ht="25.5" x14ac:dyDescent="0.75">
      <c r="B23" s="264" t="s">
        <v>202</v>
      </c>
      <c r="C23" s="253">
        <v>0</v>
      </c>
      <c r="D23" s="260">
        <f t="shared" si="0"/>
        <v>0</v>
      </c>
      <c r="E23" s="265"/>
      <c r="F23" s="262"/>
      <c r="G23" s="263">
        <f t="shared" si="1"/>
        <v>0</v>
      </c>
    </row>
    <row r="24" spans="2:7" ht="25.5" x14ac:dyDescent="0.75">
      <c r="B24" s="264" t="str">
        <f>+'PLAN DE NEGOCIOS 15%'!B80</f>
        <v>COSTO DE VENTAS</v>
      </c>
      <c r="C24" s="253">
        <f>+'PLAN DE NEGOCIOS 15%'!D80</f>
        <v>769754.08762389794</v>
      </c>
      <c r="D24" s="260">
        <f t="shared" si="0"/>
        <v>0.11729136352365223</v>
      </c>
      <c r="E24" s="265"/>
      <c r="F24" s="262"/>
      <c r="G24" s="263">
        <f t="shared" si="1"/>
        <v>0.76975408762389796</v>
      </c>
    </row>
    <row r="25" spans="2:7" ht="28" x14ac:dyDescent="0.45">
      <c r="B25" s="254" t="s">
        <v>158</v>
      </c>
      <c r="C25" s="255" t="s">
        <v>159</v>
      </c>
      <c r="D25" s="256"/>
      <c r="E25" s="257"/>
      <c r="F25" s="258">
        <f>SUM(F26:F30)</f>
        <v>4962133.0124999993</v>
      </c>
      <c r="G25" s="259">
        <f>F25/1000000</f>
        <v>4.9621330124999989</v>
      </c>
    </row>
    <row r="26" spans="2:7" ht="25.5" x14ac:dyDescent="0.75">
      <c r="B26" s="243" t="s">
        <v>160</v>
      </c>
      <c r="C26" s="253">
        <f>+'PLAN DE NEGOCIOS 15%'!I121</f>
        <v>1861088.8125</v>
      </c>
      <c r="D26" s="267">
        <f>+'PLAN DE NEGOCIOS 15%'!E119</f>
        <v>919.78499999999997</v>
      </c>
      <c r="E26" s="243" t="s">
        <v>32</v>
      </c>
      <c r="F26" s="262">
        <f>+D27*C26</f>
        <v>1861088.8125</v>
      </c>
      <c r="G26" s="263">
        <f t="shared" ref="G26:G30" si="2">+F26/1000000</f>
        <v>1.8610888125</v>
      </c>
    </row>
    <row r="27" spans="2:7" ht="25.5" x14ac:dyDescent="0.75">
      <c r="B27" s="243"/>
      <c r="C27" s="253"/>
      <c r="D27" s="268">
        <v>1</v>
      </c>
      <c r="E27" s="269" t="s">
        <v>161</v>
      </c>
      <c r="F27" s="270"/>
      <c r="G27" s="263">
        <f t="shared" si="2"/>
        <v>0</v>
      </c>
    </row>
    <row r="28" spans="2:7" ht="25.5" x14ac:dyDescent="0.75">
      <c r="B28" s="243" t="s">
        <v>162</v>
      </c>
      <c r="C28" s="253">
        <f>+'PLAN DE NEGOCIOS 15%'!E126</f>
        <v>2416316.25</v>
      </c>
      <c r="D28" s="267">
        <f>+'PLAN DE NEGOCIOS 15%'!E124</f>
        <v>919.78499999999997</v>
      </c>
      <c r="E28" s="243" t="str">
        <f>+E26</f>
        <v>m2</v>
      </c>
      <c r="F28" s="262">
        <f>+D29*C28</f>
        <v>1812237.1875</v>
      </c>
      <c r="G28" s="263">
        <f t="shared" si="2"/>
        <v>1.8122371875000001</v>
      </c>
    </row>
    <row r="29" spans="2:7" ht="25.5" x14ac:dyDescent="0.75">
      <c r="B29" s="243"/>
      <c r="C29" s="253"/>
      <c r="D29" s="268">
        <v>0.75</v>
      </c>
      <c r="E29" s="269" t="s">
        <v>163</v>
      </c>
      <c r="F29" s="270"/>
      <c r="G29" s="263">
        <f t="shared" si="2"/>
        <v>0</v>
      </c>
    </row>
    <row r="30" spans="2:7" ht="25.5" x14ac:dyDescent="0.75">
      <c r="B30" s="243" t="s">
        <v>164</v>
      </c>
      <c r="C30" s="253">
        <f>+'PLAN DE NEGOCIOS 15%'!E131</f>
        <v>3682305.7499999995</v>
      </c>
      <c r="D30" s="267">
        <f>+'PLAN DE NEGOCIOS 15%'!E129</f>
        <v>1226.3799999999999</v>
      </c>
      <c r="E30" s="243" t="str">
        <f>+E28</f>
        <v>m2</v>
      </c>
      <c r="F30" s="262">
        <f>+'PLAN DE NEGOCIOS 15%'!I131</f>
        <v>1288807.0124999997</v>
      </c>
      <c r="G30" s="263">
        <f t="shared" si="2"/>
        <v>1.2888070124999997</v>
      </c>
    </row>
    <row r="31" spans="2:7" ht="25.5" x14ac:dyDescent="0.75">
      <c r="B31" s="271" t="s">
        <v>203</v>
      </c>
      <c r="C31" s="253">
        <v>0</v>
      </c>
      <c r="D31" s="272">
        <f>+'PLAN DE NEGOCIOS 15%'!I130</f>
        <v>0.35</v>
      </c>
      <c r="E31" s="273" t="str">
        <f>+E29</f>
        <v xml:space="preserve"> cobrado durante la obra</v>
      </c>
      <c r="F31" s="270"/>
      <c r="G31" s="263"/>
    </row>
    <row r="32" spans="2:7" ht="28" x14ac:dyDescent="0.45">
      <c r="B32" s="254" t="s">
        <v>173</v>
      </c>
      <c r="C32" s="255"/>
      <c r="D32" s="256"/>
      <c r="E32" s="257"/>
      <c r="F32" s="258">
        <f>+F17-F25</f>
        <v>1600618.6215422992</v>
      </c>
      <c r="G32" s="259">
        <f>F32/1000000</f>
        <v>1.6006186215422991</v>
      </c>
    </row>
    <row r="33" spans="2:7" ht="4.5" customHeight="1" x14ac:dyDescent="0.75">
      <c r="B33" s="243"/>
      <c r="C33" s="253"/>
      <c r="D33" s="243"/>
      <c r="E33" s="265"/>
      <c r="F33" s="262"/>
      <c r="G33" s="263"/>
    </row>
    <row r="34" spans="2:7" ht="28" x14ac:dyDescent="0.45">
      <c r="B34" s="254" t="s">
        <v>165</v>
      </c>
      <c r="C34" s="255"/>
      <c r="D34" s="256"/>
      <c r="E34" s="257"/>
      <c r="F34" s="258">
        <f>SUM(C35:C36)</f>
        <v>2997577.8</v>
      </c>
      <c r="G34" s="259">
        <f>F34/1000000</f>
        <v>2.9975777999999997</v>
      </c>
    </row>
    <row r="35" spans="2:7" ht="25.5" x14ac:dyDescent="0.75">
      <c r="B35" s="243" t="s">
        <v>166</v>
      </c>
      <c r="C35" s="253">
        <f>+C28-F28</f>
        <v>604079.0625</v>
      </c>
      <c r="D35" s="243"/>
      <c r="E35" s="265"/>
      <c r="F35" s="262"/>
      <c r="G35" s="263">
        <f>+C35/1000000</f>
        <v>0.60407906249999999</v>
      </c>
    </row>
    <row r="36" spans="2:7" ht="25.5" x14ac:dyDescent="0.75">
      <c r="B36" s="243" t="s">
        <v>167</v>
      </c>
      <c r="C36" s="253">
        <f>+C30-F30</f>
        <v>2393498.7374999998</v>
      </c>
      <c r="D36" s="243"/>
      <c r="E36" s="265"/>
      <c r="F36" s="262"/>
      <c r="G36" s="263">
        <f>+C36/1000000</f>
        <v>2.3934987374999999</v>
      </c>
    </row>
    <row r="37" spans="2:7" ht="25.5" x14ac:dyDescent="0.75">
      <c r="B37" s="264" t="s">
        <v>204</v>
      </c>
      <c r="C37" s="253"/>
      <c r="D37" s="243"/>
      <c r="E37" s="265"/>
      <c r="F37" s="262"/>
      <c r="G37" s="263">
        <f>+C37/1000000</f>
        <v>0</v>
      </c>
    </row>
    <row r="38" spans="2:7" ht="28" x14ac:dyDescent="0.45">
      <c r="B38" s="254" t="s">
        <v>168</v>
      </c>
      <c r="C38" s="255" t="s">
        <v>175</v>
      </c>
      <c r="D38" s="256"/>
      <c r="E38" s="257"/>
      <c r="F38" s="258">
        <f>+F34-F32</f>
        <v>1396959.1784577006</v>
      </c>
      <c r="G38" s="259">
        <f>F38/1000000</f>
        <v>1.3969591784577007</v>
      </c>
    </row>
    <row r="39" spans="2:7" ht="25.5" x14ac:dyDescent="0.75">
      <c r="B39" s="243" t="s">
        <v>176</v>
      </c>
      <c r="C39" s="274"/>
      <c r="D39" s="243"/>
      <c r="E39" s="265"/>
      <c r="F39" s="275">
        <f>+G38/G17</f>
        <v>0.21286180802750412</v>
      </c>
      <c r="G39" s="276"/>
    </row>
    <row r="40" spans="2:7" ht="25.5" x14ac:dyDescent="0.75">
      <c r="B40" s="264" t="s">
        <v>113</v>
      </c>
      <c r="C40" s="274">
        <v>0.2</v>
      </c>
      <c r="D40" s="264">
        <f>+C40*F38</f>
        <v>279391.83569154015</v>
      </c>
      <c r="E40" s="260"/>
      <c r="F40" s="262"/>
      <c r="G40" s="263">
        <f>+D40/1000000</f>
        <v>0.27939183569154014</v>
      </c>
    </row>
    <row r="41" spans="2:7" ht="25.5" x14ac:dyDescent="0.75">
      <c r="B41" s="264" t="s">
        <v>114</v>
      </c>
      <c r="C41" s="274">
        <v>0.8</v>
      </c>
      <c r="D41" s="264">
        <f>+C41*F38</f>
        <v>1117567.3427661606</v>
      </c>
      <c r="E41" s="260"/>
      <c r="F41" s="262"/>
      <c r="G41" s="263">
        <f>+D41/1000000</f>
        <v>1.1175673427661605</v>
      </c>
    </row>
    <row r="42" spans="2:7" ht="28" x14ac:dyDescent="0.45">
      <c r="B42" s="254" t="s">
        <v>178</v>
      </c>
      <c r="C42" s="255"/>
      <c r="D42" s="256"/>
      <c r="E42" s="257"/>
      <c r="F42" s="258">
        <f>+D41</f>
        <v>1117567.3427661606</v>
      </c>
      <c r="G42" s="259">
        <f>F42/1000000</f>
        <v>1.1175673427661605</v>
      </c>
    </row>
    <row r="43" spans="2:7" ht="25.5" x14ac:dyDescent="0.75">
      <c r="B43" s="243" t="s">
        <v>177</v>
      </c>
      <c r="C43" s="243"/>
      <c r="D43" s="243"/>
      <c r="E43" s="275">
        <f>+F42/F32</f>
        <v>0.69820963452825036</v>
      </c>
      <c r="F43" s="277"/>
      <c r="G43" s="263">
        <f>+E43</f>
        <v>0.69820963452825036</v>
      </c>
    </row>
    <row r="44" spans="2:7" ht="5.5" customHeight="1" x14ac:dyDescent="0.75">
      <c r="B44" s="243"/>
      <c r="C44" s="274"/>
      <c r="D44" s="243"/>
      <c r="E44" s="265"/>
      <c r="F44" s="277"/>
      <c r="G44" s="263"/>
    </row>
    <row r="45" spans="2:7" ht="25.5" x14ac:dyDescent="0.45">
      <c r="B45" s="254" t="str">
        <f>+DATOS!B29</f>
        <v>PLAZOS</v>
      </c>
      <c r="C45" s="255"/>
      <c r="D45" s="256"/>
      <c r="E45" s="257"/>
      <c r="F45" s="258"/>
      <c r="G45" s="278"/>
    </row>
    <row r="46" spans="2:7" ht="15.5" x14ac:dyDescent="0.45">
      <c r="B46" s="243" t="str">
        <f>+DATOS!B30</f>
        <v>Proyecto y tramitacion municial</v>
      </c>
      <c r="C46" s="243"/>
      <c r="E46" s="243"/>
      <c r="F46" s="277"/>
      <c r="G46" s="279" t="str">
        <f>+DATOS!C30</f>
        <v>12 meses</v>
      </c>
    </row>
    <row r="47" spans="2:7" ht="15.5" x14ac:dyDescent="0.45">
      <c r="B47" s="243" t="str">
        <f>+DATOS!B31</f>
        <v>Obra</v>
      </c>
      <c r="C47" s="243"/>
      <c r="E47" s="243"/>
      <c r="F47" s="277"/>
      <c r="G47" s="279" t="str">
        <f>+DATOS!C31</f>
        <v>36 meses</v>
      </c>
    </row>
    <row r="48" spans="2:7" ht="15.5" x14ac:dyDescent="0.45">
      <c r="B48" s="243" t="str">
        <f>+DATOS!B32</f>
        <v>post construccion</v>
      </c>
      <c r="C48" s="243"/>
      <c r="E48" s="243"/>
      <c r="F48" s="277"/>
      <c r="G48" s="279" t="str">
        <f>+DATOS!C32</f>
        <v>6 meses</v>
      </c>
    </row>
  </sheetData>
  <pageMargins left="0.25" right="0.25" top="0.75" bottom="0.75" header="0.3" footer="0.3"/>
  <pageSetup paperSize="8" scale="6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43"/>
  <sheetViews>
    <sheetView topLeftCell="A44" workbookViewId="0">
      <selection activeCell="I35" sqref="I35"/>
    </sheetView>
  </sheetViews>
  <sheetFormatPr baseColWidth="10" defaultColWidth="11.453125" defaultRowHeight="13" x14ac:dyDescent="0.3"/>
  <cols>
    <col min="1" max="1" width="4.1796875" style="3" customWidth="1"/>
    <col min="2" max="2" width="29.26953125" style="3" bestFit="1" customWidth="1"/>
    <col min="3" max="3" width="26.453125" style="2" customWidth="1"/>
    <col min="4" max="4" width="9.81640625" style="3" bestFit="1" customWidth="1"/>
    <col min="5" max="16384" width="11.453125" style="3"/>
  </cols>
  <sheetData>
    <row r="2" spans="2:3" ht="18.5" x14ac:dyDescent="0.45">
      <c r="B2" s="193" t="s">
        <v>135</v>
      </c>
      <c r="C2" s="218">
        <v>43561</v>
      </c>
    </row>
    <row r="3" spans="2:3" ht="6" customHeight="1" x14ac:dyDescent="0.3">
      <c r="B3" s="58"/>
      <c r="C3" s="66"/>
    </row>
    <row r="4" spans="2:3" x14ac:dyDescent="0.3">
      <c r="B4" s="199" t="s">
        <v>135</v>
      </c>
      <c r="C4" s="200"/>
    </row>
    <row r="5" spans="2:3" x14ac:dyDescent="0.3">
      <c r="B5" s="194" t="s">
        <v>122</v>
      </c>
      <c r="C5" s="195">
        <f>+'PLAN DE NEGOCIOS 15%'!D9+'PLAN DE NEGOCIOS 15%'!E9</f>
        <v>3907</v>
      </c>
    </row>
    <row r="6" spans="2:3" x14ac:dyDescent="0.3">
      <c r="B6" s="194" t="s">
        <v>123</v>
      </c>
      <c r="C6" s="195">
        <f>+'PLAN DE NEGOCIOS 15%'!F10+'PLAN DE NEGOCIOS 15%'!G10</f>
        <v>44</v>
      </c>
    </row>
    <row r="7" spans="2:3" x14ac:dyDescent="0.3">
      <c r="B7" s="196" t="s">
        <v>124</v>
      </c>
      <c r="C7" s="197">
        <f>+'PLAN DE NEGOCIOS 15%'!D15</f>
        <v>6094</v>
      </c>
    </row>
    <row r="8" spans="2:3" ht="6" customHeight="1" x14ac:dyDescent="0.3">
      <c r="B8" s="58"/>
    </row>
    <row r="9" spans="2:3" x14ac:dyDescent="0.3">
      <c r="B9" s="199" t="s">
        <v>139</v>
      </c>
      <c r="C9" s="200"/>
    </row>
    <row r="10" spans="2:3" x14ac:dyDescent="0.3">
      <c r="B10" s="194" t="str">
        <f>+'PLAN DE NEGOCIOS 15%'!A19</f>
        <v>CASH POR EL TERRENO</v>
      </c>
      <c r="C10" s="195">
        <f>+'PLAN DE NEGOCIOS 15%'!D19</f>
        <v>150000</v>
      </c>
    </row>
    <row r="11" spans="2:3" x14ac:dyDescent="0.3">
      <c r="B11" s="194" t="s">
        <v>122</v>
      </c>
      <c r="C11" s="195">
        <f>+'PLAN DE NEGOCIOS 15%'!D21+'PLAN DE NEGOCIOS 15%'!E21</f>
        <v>586.04999999999995</v>
      </c>
    </row>
    <row r="12" spans="2:3" x14ac:dyDescent="0.3">
      <c r="B12" s="194" t="s">
        <v>123</v>
      </c>
      <c r="C12" s="195">
        <f>+'PLAN DE NEGOCIOS 15%'!F21+'PLAN DE NEGOCIOS 15%'!G21</f>
        <v>5</v>
      </c>
    </row>
    <row r="13" spans="2:3" x14ac:dyDescent="0.3">
      <c r="B13" s="196" t="s">
        <v>125</v>
      </c>
      <c r="C13" s="198">
        <f>+C11/C5</f>
        <v>0.15</v>
      </c>
    </row>
    <row r="14" spans="2:3" ht="6" customHeight="1" x14ac:dyDescent="0.3">
      <c r="B14" s="58"/>
    </row>
    <row r="15" spans="2:3" x14ac:dyDescent="0.3">
      <c r="B15" s="199" t="s">
        <v>136</v>
      </c>
      <c r="C15" s="200"/>
    </row>
    <row r="16" spans="2:3" x14ac:dyDescent="0.3">
      <c r="B16" s="201" t="s">
        <v>126</v>
      </c>
      <c r="C16" s="202">
        <f>+'PLAN DE NEGOCIOS 15%'!D51</f>
        <v>5642997.5464184005</v>
      </c>
    </row>
    <row r="17" spans="2:4" x14ac:dyDescent="0.3">
      <c r="B17" s="204" t="s">
        <v>127</v>
      </c>
      <c r="C17" s="205">
        <f>+'PLAN DE NEGOCIOS 15%'!D53</f>
        <v>5792997.5464184005</v>
      </c>
    </row>
    <row r="18" spans="2:4" ht="6" customHeight="1" x14ac:dyDescent="0.3">
      <c r="B18" s="58"/>
    </row>
    <row r="19" spans="2:4" x14ac:dyDescent="0.3">
      <c r="B19" s="199" t="s">
        <v>53</v>
      </c>
      <c r="C19" s="200"/>
    </row>
    <row r="20" spans="2:4" x14ac:dyDescent="0.3">
      <c r="B20" s="201" t="s">
        <v>128</v>
      </c>
      <c r="C20" s="202">
        <f>+'PLAN DE NEGOCIOS 15%'!D68</f>
        <v>2250</v>
      </c>
    </row>
    <row r="21" spans="2:4" x14ac:dyDescent="0.3">
      <c r="B21" s="203" t="s">
        <v>129</v>
      </c>
      <c r="C21" s="195">
        <f>+'PLAN DE NEGOCIOS 15%'!F68</f>
        <v>25000</v>
      </c>
    </row>
    <row r="22" spans="2:4" x14ac:dyDescent="0.3">
      <c r="B22" s="203" t="s">
        <v>130</v>
      </c>
      <c r="C22" s="195">
        <f>+'PLAN DE NEGOCIOS 15%'!D70</f>
        <v>7995637.5</v>
      </c>
    </row>
    <row r="23" spans="2:4" x14ac:dyDescent="0.3">
      <c r="B23" s="204" t="s">
        <v>60</v>
      </c>
      <c r="C23" s="205">
        <f>+'PLAN DE NEGOCIOS 15%'!D80</f>
        <v>769754.08762389794</v>
      </c>
    </row>
    <row r="24" spans="2:4" ht="6" customHeight="1" x14ac:dyDescent="0.3">
      <c r="B24" s="58"/>
    </row>
    <row r="25" spans="2:4" x14ac:dyDescent="0.3">
      <c r="B25" s="199" t="s">
        <v>137</v>
      </c>
      <c r="C25" s="200"/>
    </row>
    <row r="26" spans="2:4" x14ac:dyDescent="0.3">
      <c r="B26" s="201" t="s">
        <v>94</v>
      </c>
      <c r="C26" s="202">
        <f>+'PLAN DE NEGOCIOS 15%'!D87</f>
        <v>1432885.8659577016</v>
      </c>
    </row>
    <row r="27" spans="2:4" x14ac:dyDescent="0.3">
      <c r="B27" s="204" t="s">
        <v>131</v>
      </c>
      <c r="C27" s="198">
        <f>+'PLAN DE NEGOCIOS 15%'!D88</f>
        <v>0.24734791521594943</v>
      </c>
    </row>
    <row r="28" spans="2:4" ht="6" customHeight="1" x14ac:dyDescent="0.3">
      <c r="B28" s="58"/>
    </row>
    <row r="29" spans="2:4" x14ac:dyDescent="0.3">
      <c r="B29" s="199" t="s">
        <v>138</v>
      </c>
      <c r="C29" s="200"/>
    </row>
    <row r="30" spans="2:4" x14ac:dyDescent="0.3">
      <c r="B30" s="206" t="s">
        <v>132</v>
      </c>
      <c r="C30" s="207" t="s">
        <v>133</v>
      </c>
      <c r="D30" s="192"/>
    </row>
    <row r="31" spans="2:4" x14ac:dyDescent="0.3">
      <c r="B31" s="194" t="s">
        <v>134</v>
      </c>
      <c r="C31" s="208" t="s">
        <v>140</v>
      </c>
      <c r="D31" s="192"/>
    </row>
    <row r="32" spans="2:4" x14ac:dyDescent="0.3">
      <c r="B32" s="196" t="s">
        <v>141</v>
      </c>
      <c r="C32" s="209" t="s">
        <v>142</v>
      </c>
    </row>
    <row r="36" spans="2:7" ht="21" x14ac:dyDescent="0.25">
      <c r="B36" s="190" t="s">
        <v>121</v>
      </c>
      <c r="C36" s="190"/>
      <c r="D36" s="190"/>
      <c r="E36" s="190"/>
      <c r="F36" s="190"/>
      <c r="G36" s="190"/>
    </row>
    <row r="37" spans="2:7" x14ac:dyDescent="0.3">
      <c r="B37" s="399" t="str">
        <f>+'PLAN DE NEGOCIOS 15%'!B220</f>
        <v>TOTAL PREVENTA</v>
      </c>
      <c r="C37" s="400">
        <f>+'PLAN DE NEGOCIOS 15%'!C220</f>
        <v>0.2</v>
      </c>
      <c r="D37" s="400">
        <f>+'PLAN DE NEGOCIOS 15%'!D220</f>
        <v>0.2</v>
      </c>
      <c r="E37" s="400">
        <f>+'PLAN DE NEGOCIOS 15%'!E220</f>
        <v>0.3</v>
      </c>
      <c r="F37" s="400">
        <f>+'PLAN DE NEGOCIOS 15%'!F220</f>
        <v>0.3</v>
      </c>
      <c r="G37" s="400">
        <f>+'PLAN DE NEGOCIOS 15%'!G220</f>
        <v>0.4</v>
      </c>
    </row>
    <row r="38" spans="2:7" x14ac:dyDescent="0.3">
      <c r="B38" s="399" t="str">
        <f>+'PLAN DE NEGOCIOS 15%'!B221</f>
        <v xml:space="preserve">TOTAL VENTA DURANTE LA OBRA </v>
      </c>
      <c r="C38" s="400">
        <f>+'PLAN DE NEGOCIOS 15%'!C221</f>
        <v>0.2</v>
      </c>
      <c r="D38" s="400">
        <f>+'PLAN DE NEGOCIOS 15%'!D221</f>
        <v>0.3</v>
      </c>
      <c r="E38" s="400">
        <f>+'PLAN DE NEGOCIOS 15%'!E221</f>
        <v>0.3</v>
      </c>
      <c r="F38" s="400">
        <f>+'PLAN DE NEGOCIOS 15%'!F221</f>
        <v>0.4</v>
      </c>
      <c r="G38" s="400">
        <f>+'PLAN DE NEGOCIOS 15%'!G221</f>
        <v>0.4</v>
      </c>
    </row>
    <row r="39" spans="2:7" x14ac:dyDescent="0.3">
      <c r="B39" s="399" t="str">
        <f>+'PLAN DE NEGOCIOS 15%'!B222</f>
        <v>TOTAL VENTA REMANENTE</v>
      </c>
      <c r="C39" s="400">
        <f>+'PLAN DE NEGOCIOS 15%'!C222</f>
        <v>0.60000000000000009</v>
      </c>
      <c r="D39" s="400">
        <f>+'PLAN DE NEGOCIOS 15%'!D222</f>
        <v>0.5</v>
      </c>
      <c r="E39" s="400">
        <f>+'PLAN DE NEGOCIOS 15%'!E222</f>
        <v>0.39999999999999997</v>
      </c>
      <c r="F39" s="400">
        <f>+'PLAN DE NEGOCIOS 15%'!F222</f>
        <v>0.29999999999999993</v>
      </c>
      <c r="G39" s="400">
        <f>+'PLAN DE NEGOCIOS 15%'!G222</f>
        <v>0.19999999999999996</v>
      </c>
    </row>
    <row r="40" spans="2:7" x14ac:dyDescent="0.3">
      <c r="B40" s="2" t="str">
        <f>+'PLAN DE NEGOCIOS 15%'!B223</f>
        <v>fondeo</v>
      </c>
      <c r="C40" s="401">
        <f>+'PLAN DE NEGOCIOS 15%'!C223</f>
        <v>2074220.3249291228</v>
      </c>
      <c r="D40" s="401">
        <f>+'PLAN DE NEGOCIOS 15%'!D223</f>
        <v>1804665.5426731855</v>
      </c>
      <c r="E40" s="401">
        <f>+'PLAN DE NEGOCIOS 15%'!E223</f>
        <v>1600618.6215422992</v>
      </c>
      <c r="F40" s="401">
        <f>+'PLAN DE NEGOCIOS 15%'!F223</f>
        <v>1230996.2566488115</v>
      </c>
      <c r="G40" s="401">
        <f>+'PLAN DE NEGOCIOS 15%'!G223</f>
        <v>926881.75288037397</v>
      </c>
    </row>
    <row r="41" spans="2:7" x14ac:dyDescent="0.3">
      <c r="B41" s="2" t="str">
        <f>+'PLAN DE NEGOCIOS 15%'!B224</f>
        <v>reupero</v>
      </c>
      <c r="C41" s="401">
        <f>+'PLAN DE NEGOCIOS 15%'!C224</f>
        <v>3945587.4923981242</v>
      </c>
      <c r="D41" s="401">
        <f>+'PLAN DE NEGOCIOS 15%'!D224</f>
        <v>3559678.1278734361</v>
      </c>
      <c r="E41" s="401">
        <f>+'PLAN DE NEGOCIOS 15%'!E224</f>
        <v>2997577.8</v>
      </c>
      <c r="F41" s="401">
        <f>+'PLAN DE NEGOCIOS 15%'!F224</f>
        <v>2593935.0950428112</v>
      </c>
      <c r="G41" s="401">
        <f>+'PLAN DE NEGOCIOS 15%'!G224</f>
        <v>2014101.426736874</v>
      </c>
    </row>
    <row r="42" spans="2:7" x14ac:dyDescent="0.3">
      <c r="B42" s="2" t="str">
        <f>+'PLAN DE NEGOCIOS 15%'!B225</f>
        <v>Beneficio Socios Originantes $</v>
      </c>
      <c r="C42" s="401">
        <f>+'PLAN DE NEGOCIOS 15%'!C225</f>
        <v>1403525.375601751</v>
      </c>
      <c r="D42" s="401">
        <f>+'PLAN DE NEGOCIOS 15%'!D225</f>
        <v>1316259.4389001881</v>
      </c>
      <c r="E42" s="401">
        <f>+'PLAN DE NEGOCIOS 15%'!E225</f>
        <v>1047719.3838432755</v>
      </c>
      <c r="F42" s="401">
        <f>+'PLAN DE NEGOCIOS 15%'!F225</f>
        <v>1022204.1287954998</v>
      </c>
      <c r="G42" s="401">
        <f>+'PLAN DE NEGOCIOS 15%'!G225</f>
        <v>815414.75539237505</v>
      </c>
    </row>
    <row r="43" spans="2:7" x14ac:dyDescent="0.3">
      <c r="B43" s="2" t="str">
        <f>+'PLAN DE NEGOCIOS 15%'!B226</f>
        <v>Beneficio socios originantes %</v>
      </c>
      <c r="C43" s="402">
        <f>+'PLAN DE NEGOCIOS 15%'!C226</f>
        <v>0.67665202135636682</v>
      </c>
      <c r="D43" s="402">
        <f>+'PLAN DE NEGOCIOS 15%'!D226</f>
        <v>0.72936475362102871</v>
      </c>
      <c r="E43" s="402">
        <f>+'PLAN DE NEGOCIOS 15%'!E226</f>
        <v>0.65457153237023469</v>
      </c>
      <c r="F43" s="402">
        <f>+'PLAN DE NEGOCIOS 15%'!F226</f>
        <v>0.83038768255744777</v>
      </c>
      <c r="G43" s="402">
        <f>+'PLAN DE NEGOCIOS 15%'!G226</f>
        <v>0.87973978650285811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PLAN DE NEGOCIOS 15%</vt:lpstr>
      <vt:lpstr>Caso de Negocio</vt:lpstr>
      <vt:lpstr>DATOS</vt:lpstr>
      <vt:lpstr>'PLAN DE NEGOCIOS 15%'!Área_de_impresión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Topor</dc:creator>
  <cp:lastModifiedBy>Sergio Topor</cp:lastModifiedBy>
  <cp:lastPrinted>2018-08-10T15:27:19Z</cp:lastPrinted>
  <dcterms:created xsi:type="dcterms:W3CDTF">2016-02-19T20:34:32Z</dcterms:created>
  <dcterms:modified xsi:type="dcterms:W3CDTF">2026-04-16T13:15:03Z</dcterms:modified>
</cp:coreProperties>
</file>